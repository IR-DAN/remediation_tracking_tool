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forensics\Desktop\Tooling\Released\v2.2\Fi\"/>
    </mc:Choice>
  </mc:AlternateContent>
  <bookViews>
    <workbookView xWindow="0" yWindow="0" windowWidth="5325" windowHeight="1620" tabRatio="782" activeTab="2"/>
  </bookViews>
  <sheets>
    <sheet name="Configuration" sheetId="15" r:id="rId1"/>
    <sheet name="Start packages" sheetId="5" r:id="rId2"/>
    <sheet name="Dashboard" sheetId="13" r:id="rId3"/>
    <sheet name="OutlookImport" sheetId="7" r:id="rId4"/>
    <sheet name="ChangeLog" sheetId="40" r:id="rId5"/>
    <sheet name="Issues" sheetId="41" r:id="rId6"/>
    <sheet name="Deadlines" sheetId="37" r:id="rId7"/>
    <sheet name="Tracking" sheetId="4" r:id="rId8"/>
    <sheet name="Pivot Tables" sheetId="36" r:id="rId9"/>
    <sheet name="IDs" sheetId="38" r:id="rId10"/>
    <sheet name="Dashboard Modules" sheetId="39" r:id="rId11"/>
  </sheets>
  <functionGroups builtInGroupCount="18"/>
  <definedNames>
    <definedName name="_xlnm._FilterDatabase" localSheetId="2" hidden="1">Dashboard!$B$23:$F$23</definedName>
    <definedName name="_xlnm._FilterDatabase" localSheetId="1" hidden="1">'Start packages'!$C$21:$D$21</definedName>
    <definedName name="_xlnm._FilterDatabase" localSheetId="7" hidden="1">Tracking!$A$1:$J$2116</definedName>
    <definedName name="ChangeInAll">'Start packages'!$C$6</definedName>
    <definedName name="ChangeInOne">'Start packages'!$B$12</definedName>
    <definedName name="Contacts">Configuration!$C$15</definedName>
    <definedName name="ImportedCodes" localSheetId="3">OutlookImport!$D:$D</definedName>
    <definedName name="MailBody">'Start packages'!$D$27:$E$27</definedName>
    <definedName name="MailCompany">'Start packages'!$D$21</definedName>
    <definedName name="MailHead">'Start packages'!$D$25:$E$25</definedName>
    <definedName name="MailIssueReply">'Start packages'!$D$33:$E$33</definedName>
    <definedName name="MailSignature">'Start packages'!$D$29</definedName>
    <definedName name="MailStatusReply">'Start packages'!$D$31:$E$31</definedName>
    <definedName name="MailSubject">'Start packages'!$D$23</definedName>
    <definedName name="OutlookImportIDs">OutlookImport!$D$2</definedName>
  </definedNames>
  <calcPr calcId="162913"/>
  <pivotCaches>
    <pivotCache cacheId="16" r:id="rId12"/>
    <pivotCache cacheId="21" r:id="rId13"/>
  </pivotCaches>
  <fileRecoveryPr autoRecover="0"/>
</workbook>
</file>

<file path=xl/calcChain.xml><?xml version="1.0" encoding="utf-8"?>
<calcChain xmlns="http://schemas.openxmlformats.org/spreadsheetml/2006/main">
  <c r="H74" i="36" l="1"/>
  <c r="G74" i="36"/>
  <c r="F74" i="36"/>
  <c r="E74" i="36"/>
  <c r="D74" i="36"/>
  <c r="C74" i="36"/>
  <c r="B74" i="36"/>
  <c r="H73" i="36"/>
  <c r="G73" i="36"/>
  <c r="F73" i="36"/>
  <c r="E73" i="36"/>
  <c r="D73" i="36"/>
  <c r="C73" i="36"/>
  <c r="B73" i="36"/>
  <c r="G2" i="13"/>
  <c r="F2" i="13"/>
  <c r="E2" i="13"/>
  <c r="D2" i="13"/>
  <c r="C2" i="13"/>
  <c r="B18" i="13"/>
  <c r="D18" i="13" s="1"/>
  <c r="B17" i="13"/>
  <c r="B16" i="13"/>
  <c r="B15" i="13"/>
  <c r="B14" i="13"/>
  <c r="D14" i="13" s="1"/>
  <c r="B13" i="13"/>
  <c r="B12" i="13"/>
  <c r="B11" i="13"/>
  <c r="B10" i="13"/>
  <c r="B9" i="13"/>
  <c r="B8" i="13"/>
  <c r="B7" i="13"/>
  <c r="B6" i="13"/>
  <c r="B5" i="13"/>
  <c r="B4" i="13"/>
  <c r="A18" i="37"/>
  <c r="C18" i="37"/>
  <c r="A17" i="37"/>
  <c r="C17" i="37"/>
  <c r="A16" i="37"/>
  <c r="C16" i="37"/>
  <c r="A15" i="37"/>
  <c r="C15" i="37"/>
  <c r="A14" i="37"/>
  <c r="C14" i="37"/>
  <c r="A13" i="37"/>
  <c r="C13" i="37"/>
  <c r="A12" i="37"/>
  <c r="C12" i="37"/>
  <c r="A11" i="37"/>
  <c r="C11" i="37"/>
  <c r="A10" i="37"/>
  <c r="C10" i="37"/>
  <c r="A9" i="37"/>
  <c r="C9" i="37"/>
  <c r="A8" i="37"/>
  <c r="C8" i="37"/>
  <c r="A7" i="37"/>
  <c r="C7" i="37"/>
  <c r="A6" i="37"/>
  <c r="C6" i="37"/>
  <c r="A5" i="37"/>
  <c r="C5" i="37"/>
  <c r="A4" i="37"/>
  <c r="C4" i="37"/>
  <c r="C24" i="15"/>
  <c r="C22" i="15"/>
  <c r="C20" i="15"/>
  <c r="C18" i="15"/>
  <c r="C16" i="15"/>
  <c r="J401" i="4"/>
  <c r="I401" i="4"/>
  <c r="H401" i="4"/>
  <c r="J400" i="4"/>
  <c r="I400" i="4"/>
  <c r="H400" i="4"/>
  <c r="J399" i="4"/>
  <c r="I399" i="4"/>
  <c r="H399" i="4"/>
  <c r="J398" i="4"/>
  <c r="I398" i="4"/>
  <c r="H398" i="4"/>
  <c r="J397" i="4"/>
  <c r="I397" i="4"/>
  <c r="H397" i="4"/>
  <c r="J396" i="4"/>
  <c r="I396" i="4"/>
  <c r="H396" i="4"/>
  <c r="J395" i="4"/>
  <c r="I395" i="4"/>
  <c r="H395" i="4"/>
  <c r="J394" i="4"/>
  <c r="I394" i="4"/>
  <c r="H394" i="4"/>
  <c r="J393" i="4"/>
  <c r="I393" i="4"/>
  <c r="H393" i="4"/>
  <c r="J392" i="4"/>
  <c r="I392" i="4"/>
  <c r="H392" i="4"/>
  <c r="J391" i="4"/>
  <c r="I391" i="4"/>
  <c r="H391" i="4"/>
  <c r="J390" i="4"/>
  <c r="I390" i="4"/>
  <c r="H390" i="4"/>
  <c r="J389" i="4"/>
  <c r="I389" i="4"/>
  <c r="H389" i="4"/>
  <c r="J388" i="4"/>
  <c r="I388" i="4"/>
  <c r="H388" i="4"/>
  <c r="J387" i="4"/>
  <c r="I387" i="4"/>
  <c r="H387" i="4"/>
  <c r="J386" i="4"/>
  <c r="I386" i="4"/>
  <c r="H386" i="4"/>
  <c r="J385" i="4"/>
  <c r="I385" i="4"/>
  <c r="H385" i="4"/>
  <c r="J384" i="4"/>
  <c r="I384" i="4"/>
  <c r="H384" i="4"/>
  <c r="J383" i="4"/>
  <c r="I383" i="4"/>
  <c r="H383" i="4"/>
  <c r="J382" i="4"/>
  <c r="I382" i="4"/>
  <c r="H382" i="4"/>
  <c r="J381" i="4"/>
  <c r="I381" i="4"/>
  <c r="H381" i="4"/>
  <c r="J380" i="4"/>
  <c r="I380" i="4"/>
  <c r="H380" i="4"/>
  <c r="J379" i="4"/>
  <c r="I379" i="4"/>
  <c r="H379" i="4"/>
  <c r="J378" i="4"/>
  <c r="I378" i="4"/>
  <c r="H378" i="4"/>
  <c r="J377" i="4"/>
  <c r="I377" i="4"/>
  <c r="H377" i="4"/>
  <c r="J376" i="4"/>
  <c r="I376" i="4"/>
  <c r="H376" i="4"/>
  <c r="J375" i="4"/>
  <c r="I375" i="4"/>
  <c r="H375" i="4"/>
  <c r="J374" i="4"/>
  <c r="I374" i="4"/>
  <c r="H374" i="4"/>
  <c r="J373" i="4"/>
  <c r="I373" i="4"/>
  <c r="H373" i="4"/>
  <c r="J372" i="4"/>
  <c r="I372" i="4"/>
  <c r="H372" i="4"/>
  <c r="J371" i="4"/>
  <c r="I371" i="4"/>
  <c r="H371" i="4"/>
  <c r="J370" i="4"/>
  <c r="I370" i="4"/>
  <c r="H370" i="4"/>
  <c r="J369" i="4"/>
  <c r="I369" i="4"/>
  <c r="H369" i="4"/>
  <c r="J368" i="4"/>
  <c r="I368" i="4"/>
  <c r="H368" i="4"/>
  <c r="J367" i="4"/>
  <c r="I367" i="4"/>
  <c r="H367" i="4"/>
  <c r="J366" i="4"/>
  <c r="I366" i="4"/>
  <c r="H366" i="4"/>
  <c r="J365" i="4"/>
  <c r="I365" i="4"/>
  <c r="H365" i="4"/>
  <c r="J364" i="4"/>
  <c r="I364" i="4"/>
  <c r="H364" i="4"/>
  <c r="J363" i="4"/>
  <c r="I363" i="4"/>
  <c r="H363" i="4"/>
  <c r="J362" i="4"/>
  <c r="I362" i="4"/>
  <c r="H362" i="4"/>
  <c r="J361" i="4"/>
  <c r="I361" i="4"/>
  <c r="H361" i="4"/>
  <c r="J360" i="4"/>
  <c r="I360" i="4"/>
  <c r="H360" i="4"/>
  <c r="J359" i="4"/>
  <c r="I359" i="4"/>
  <c r="H359" i="4"/>
  <c r="J358" i="4"/>
  <c r="I358" i="4"/>
  <c r="H358" i="4"/>
  <c r="J357" i="4"/>
  <c r="I357" i="4"/>
  <c r="H357" i="4"/>
  <c r="J356" i="4"/>
  <c r="I356" i="4"/>
  <c r="H356" i="4"/>
  <c r="J355" i="4"/>
  <c r="I355" i="4"/>
  <c r="H355" i="4"/>
  <c r="J354" i="4"/>
  <c r="I354" i="4"/>
  <c r="H354" i="4"/>
  <c r="J353" i="4"/>
  <c r="I353" i="4"/>
  <c r="H353" i="4"/>
  <c r="J352" i="4"/>
  <c r="I352" i="4"/>
  <c r="H352" i="4"/>
  <c r="J351" i="4"/>
  <c r="I351" i="4"/>
  <c r="H351" i="4"/>
  <c r="J350" i="4"/>
  <c r="I350" i="4"/>
  <c r="H350" i="4"/>
  <c r="J349" i="4"/>
  <c r="I349" i="4"/>
  <c r="H349" i="4"/>
  <c r="J348" i="4"/>
  <c r="I348" i="4"/>
  <c r="H348" i="4"/>
  <c r="J347" i="4"/>
  <c r="I347" i="4"/>
  <c r="H347" i="4"/>
  <c r="J346" i="4"/>
  <c r="I346" i="4"/>
  <c r="H346" i="4"/>
  <c r="J345" i="4"/>
  <c r="I345" i="4"/>
  <c r="H345" i="4"/>
  <c r="J344" i="4"/>
  <c r="I344" i="4"/>
  <c r="H344" i="4"/>
  <c r="J343" i="4"/>
  <c r="I343" i="4"/>
  <c r="H343" i="4"/>
  <c r="J342" i="4"/>
  <c r="I342" i="4"/>
  <c r="H342" i="4"/>
  <c r="J341" i="4"/>
  <c r="I341" i="4"/>
  <c r="H341" i="4"/>
  <c r="J340" i="4"/>
  <c r="I340" i="4"/>
  <c r="H340" i="4"/>
  <c r="J339" i="4"/>
  <c r="I339" i="4"/>
  <c r="H339" i="4"/>
  <c r="J338" i="4"/>
  <c r="I338" i="4"/>
  <c r="H338" i="4"/>
  <c r="J337" i="4"/>
  <c r="I337" i="4"/>
  <c r="H337" i="4"/>
  <c r="J336" i="4"/>
  <c r="I336" i="4"/>
  <c r="H336" i="4"/>
  <c r="J335" i="4"/>
  <c r="I335" i="4"/>
  <c r="H335" i="4"/>
  <c r="J334" i="4"/>
  <c r="I334" i="4"/>
  <c r="H334" i="4"/>
  <c r="J333" i="4"/>
  <c r="I333" i="4"/>
  <c r="H333" i="4"/>
  <c r="J332" i="4"/>
  <c r="I332" i="4"/>
  <c r="H332" i="4"/>
  <c r="J331" i="4"/>
  <c r="I331" i="4"/>
  <c r="H331" i="4"/>
  <c r="J330" i="4"/>
  <c r="I330" i="4"/>
  <c r="H330" i="4"/>
  <c r="J329" i="4"/>
  <c r="I329" i="4"/>
  <c r="H329" i="4"/>
  <c r="J328" i="4"/>
  <c r="I328" i="4"/>
  <c r="H328" i="4"/>
  <c r="J327" i="4"/>
  <c r="I327" i="4"/>
  <c r="H327" i="4"/>
  <c r="J326" i="4"/>
  <c r="I326" i="4"/>
  <c r="H326" i="4"/>
  <c r="J325" i="4"/>
  <c r="I325" i="4"/>
  <c r="H325" i="4"/>
  <c r="J324" i="4"/>
  <c r="I324" i="4"/>
  <c r="H324" i="4"/>
  <c r="J323" i="4"/>
  <c r="I323" i="4"/>
  <c r="H323" i="4"/>
  <c r="J322" i="4"/>
  <c r="I322" i="4"/>
  <c r="H322" i="4"/>
  <c r="J321" i="4"/>
  <c r="I321" i="4"/>
  <c r="H321" i="4"/>
  <c r="J320" i="4"/>
  <c r="I320" i="4"/>
  <c r="H320" i="4"/>
  <c r="J319" i="4"/>
  <c r="I319" i="4"/>
  <c r="H319" i="4"/>
  <c r="J318" i="4"/>
  <c r="I318" i="4"/>
  <c r="H318" i="4"/>
  <c r="J317" i="4"/>
  <c r="I317" i="4"/>
  <c r="H317" i="4"/>
  <c r="J316" i="4"/>
  <c r="I316" i="4"/>
  <c r="H316" i="4"/>
  <c r="J315" i="4"/>
  <c r="I315" i="4"/>
  <c r="H315" i="4"/>
  <c r="J314" i="4"/>
  <c r="I314" i="4"/>
  <c r="H314" i="4"/>
  <c r="J313" i="4"/>
  <c r="I313" i="4"/>
  <c r="H313" i="4"/>
  <c r="J312" i="4"/>
  <c r="I312" i="4"/>
  <c r="H312" i="4"/>
  <c r="J311" i="4"/>
  <c r="I311" i="4"/>
  <c r="H311" i="4"/>
  <c r="J310" i="4"/>
  <c r="I310" i="4"/>
  <c r="H310" i="4"/>
  <c r="J309" i="4"/>
  <c r="I309" i="4"/>
  <c r="H309" i="4"/>
  <c r="J308" i="4"/>
  <c r="I308" i="4"/>
  <c r="H308" i="4"/>
  <c r="J307" i="4"/>
  <c r="I307" i="4"/>
  <c r="H307" i="4"/>
  <c r="J306" i="4"/>
  <c r="I306" i="4"/>
  <c r="H306" i="4"/>
  <c r="J305" i="4"/>
  <c r="I305" i="4"/>
  <c r="H305" i="4"/>
  <c r="J304" i="4"/>
  <c r="I304" i="4"/>
  <c r="H304" i="4"/>
  <c r="J303" i="4"/>
  <c r="I303" i="4"/>
  <c r="H303" i="4"/>
  <c r="J302" i="4"/>
  <c r="I302" i="4"/>
  <c r="H302" i="4"/>
  <c r="J301" i="4"/>
  <c r="I301" i="4"/>
  <c r="H301" i="4"/>
  <c r="J300" i="4"/>
  <c r="I300" i="4"/>
  <c r="H300" i="4"/>
  <c r="J299" i="4"/>
  <c r="I299" i="4"/>
  <c r="H299" i="4"/>
  <c r="J298" i="4"/>
  <c r="I298" i="4"/>
  <c r="H298" i="4"/>
  <c r="J297" i="4"/>
  <c r="I297" i="4"/>
  <c r="H297" i="4"/>
  <c r="J296" i="4"/>
  <c r="I296" i="4"/>
  <c r="H296" i="4"/>
  <c r="J295" i="4"/>
  <c r="I295" i="4"/>
  <c r="H295" i="4"/>
  <c r="J294" i="4"/>
  <c r="I294" i="4"/>
  <c r="H294" i="4"/>
  <c r="J293" i="4"/>
  <c r="I293" i="4"/>
  <c r="H293" i="4"/>
  <c r="J292" i="4"/>
  <c r="I292" i="4"/>
  <c r="H292" i="4"/>
  <c r="J291" i="4"/>
  <c r="I291" i="4"/>
  <c r="H291" i="4"/>
  <c r="J290" i="4"/>
  <c r="I290" i="4"/>
  <c r="H290" i="4"/>
  <c r="J289" i="4"/>
  <c r="I289" i="4"/>
  <c r="H289" i="4"/>
  <c r="J288" i="4"/>
  <c r="I288" i="4"/>
  <c r="H288" i="4"/>
  <c r="J287" i="4"/>
  <c r="I287" i="4"/>
  <c r="H287" i="4"/>
  <c r="J286" i="4"/>
  <c r="I286" i="4"/>
  <c r="H286" i="4"/>
  <c r="J285" i="4"/>
  <c r="I285" i="4"/>
  <c r="H285" i="4"/>
  <c r="J284" i="4"/>
  <c r="I284" i="4"/>
  <c r="H284" i="4"/>
  <c r="J283" i="4"/>
  <c r="I283" i="4"/>
  <c r="H283" i="4"/>
  <c r="J282" i="4"/>
  <c r="I282" i="4"/>
  <c r="H282" i="4"/>
  <c r="J281" i="4"/>
  <c r="I281" i="4"/>
  <c r="H281" i="4"/>
  <c r="J280" i="4"/>
  <c r="I280" i="4"/>
  <c r="H280" i="4"/>
  <c r="J279" i="4"/>
  <c r="I279" i="4"/>
  <c r="H279" i="4"/>
  <c r="J278" i="4"/>
  <c r="I278" i="4"/>
  <c r="H278" i="4"/>
  <c r="J277" i="4"/>
  <c r="I277" i="4"/>
  <c r="H277" i="4"/>
  <c r="J276" i="4"/>
  <c r="I276" i="4"/>
  <c r="H276" i="4"/>
  <c r="J275" i="4"/>
  <c r="I275" i="4"/>
  <c r="H275" i="4"/>
  <c r="J274" i="4"/>
  <c r="I274" i="4"/>
  <c r="H274" i="4"/>
  <c r="J273" i="4"/>
  <c r="I273" i="4"/>
  <c r="H273" i="4"/>
  <c r="J272" i="4"/>
  <c r="I272" i="4"/>
  <c r="H272" i="4"/>
  <c r="J271" i="4"/>
  <c r="I271" i="4"/>
  <c r="H271" i="4"/>
  <c r="J270" i="4"/>
  <c r="I270" i="4"/>
  <c r="H270" i="4"/>
  <c r="J269" i="4"/>
  <c r="I269" i="4"/>
  <c r="H269" i="4"/>
  <c r="J268" i="4"/>
  <c r="I268" i="4"/>
  <c r="H268" i="4"/>
  <c r="J267" i="4"/>
  <c r="I267" i="4"/>
  <c r="H267" i="4"/>
  <c r="J266" i="4"/>
  <c r="I266" i="4"/>
  <c r="H266" i="4"/>
  <c r="J265" i="4"/>
  <c r="I265" i="4"/>
  <c r="H265" i="4"/>
  <c r="J264" i="4"/>
  <c r="I264" i="4"/>
  <c r="H264" i="4"/>
  <c r="J263" i="4"/>
  <c r="I263" i="4"/>
  <c r="H263" i="4"/>
  <c r="J262" i="4"/>
  <c r="I262" i="4"/>
  <c r="H262" i="4"/>
  <c r="J261" i="4"/>
  <c r="I261" i="4"/>
  <c r="H261" i="4"/>
  <c r="J260" i="4"/>
  <c r="I260" i="4"/>
  <c r="H260" i="4"/>
  <c r="J259" i="4"/>
  <c r="I259" i="4"/>
  <c r="H259" i="4"/>
  <c r="J258" i="4"/>
  <c r="I258" i="4"/>
  <c r="H258" i="4"/>
  <c r="J257" i="4"/>
  <c r="I257" i="4"/>
  <c r="H257" i="4"/>
  <c r="J256" i="4"/>
  <c r="I256" i="4"/>
  <c r="H256" i="4"/>
  <c r="J255" i="4"/>
  <c r="I255" i="4"/>
  <c r="H255" i="4"/>
  <c r="J254" i="4"/>
  <c r="I254" i="4"/>
  <c r="H254" i="4"/>
  <c r="J253" i="4"/>
  <c r="I253" i="4"/>
  <c r="H253" i="4"/>
  <c r="J252" i="4"/>
  <c r="I252" i="4"/>
  <c r="H252" i="4"/>
  <c r="J251" i="4"/>
  <c r="I251" i="4"/>
  <c r="H251" i="4"/>
  <c r="J250" i="4"/>
  <c r="I250" i="4"/>
  <c r="H250" i="4"/>
  <c r="J249" i="4"/>
  <c r="I249" i="4"/>
  <c r="H249" i="4"/>
  <c r="J248" i="4"/>
  <c r="I248" i="4"/>
  <c r="H248" i="4"/>
  <c r="J247" i="4"/>
  <c r="I247" i="4"/>
  <c r="H247" i="4"/>
  <c r="J246" i="4"/>
  <c r="I246" i="4"/>
  <c r="H246" i="4"/>
  <c r="J245" i="4"/>
  <c r="I245" i="4"/>
  <c r="H245" i="4"/>
  <c r="J244" i="4"/>
  <c r="I244" i="4"/>
  <c r="H244" i="4"/>
  <c r="J243" i="4"/>
  <c r="I243" i="4"/>
  <c r="H243" i="4"/>
  <c r="J242" i="4"/>
  <c r="I242" i="4"/>
  <c r="H242" i="4"/>
  <c r="J241" i="4"/>
  <c r="I241" i="4"/>
  <c r="H241" i="4"/>
  <c r="J240" i="4"/>
  <c r="I240" i="4"/>
  <c r="H240" i="4"/>
  <c r="J239" i="4"/>
  <c r="I239" i="4"/>
  <c r="H239" i="4"/>
  <c r="J238" i="4"/>
  <c r="I238" i="4"/>
  <c r="H238" i="4"/>
  <c r="J237" i="4"/>
  <c r="I237" i="4"/>
  <c r="H237" i="4"/>
  <c r="J236" i="4"/>
  <c r="I236" i="4"/>
  <c r="H236" i="4"/>
  <c r="J235" i="4"/>
  <c r="I235" i="4"/>
  <c r="H235" i="4"/>
  <c r="J234" i="4"/>
  <c r="I234" i="4"/>
  <c r="H234" i="4"/>
  <c r="J233" i="4"/>
  <c r="I233" i="4"/>
  <c r="H233" i="4"/>
  <c r="J232" i="4"/>
  <c r="I232" i="4"/>
  <c r="H232" i="4"/>
  <c r="J231" i="4"/>
  <c r="I231" i="4"/>
  <c r="H231" i="4"/>
  <c r="J230" i="4"/>
  <c r="I230" i="4"/>
  <c r="H230" i="4"/>
  <c r="J229" i="4"/>
  <c r="I229" i="4"/>
  <c r="H229" i="4"/>
  <c r="J228" i="4"/>
  <c r="I228" i="4"/>
  <c r="H228" i="4"/>
  <c r="J227" i="4"/>
  <c r="I227" i="4"/>
  <c r="H227" i="4"/>
  <c r="J226" i="4"/>
  <c r="I226" i="4"/>
  <c r="H226" i="4"/>
  <c r="J225" i="4"/>
  <c r="I225" i="4"/>
  <c r="H225" i="4"/>
  <c r="J224" i="4"/>
  <c r="I224" i="4"/>
  <c r="H224" i="4"/>
  <c r="J223" i="4"/>
  <c r="I223" i="4"/>
  <c r="H223" i="4"/>
  <c r="J222" i="4"/>
  <c r="I222" i="4"/>
  <c r="H222" i="4"/>
  <c r="J221" i="4"/>
  <c r="I221" i="4"/>
  <c r="H221" i="4"/>
  <c r="J220" i="4"/>
  <c r="I220" i="4"/>
  <c r="H220" i="4"/>
  <c r="J219" i="4"/>
  <c r="I219" i="4"/>
  <c r="H219" i="4"/>
  <c r="J218" i="4"/>
  <c r="I218" i="4"/>
  <c r="H218" i="4"/>
  <c r="J217" i="4"/>
  <c r="I217" i="4"/>
  <c r="H217" i="4"/>
  <c r="J216" i="4"/>
  <c r="I216" i="4"/>
  <c r="H216" i="4"/>
  <c r="J215" i="4"/>
  <c r="I215" i="4"/>
  <c r="H215" i="4"/>
  <c r="J214" i="4"/>
  <c r="I214" i="4"/>
  <c r="H214" i="4"/>
  <c r="J213" i="4"/>
  <c r="I213" i="4"/>
  <c r="H213" i="4"/>
  <c r="J212" i="4"/>
  <c r="I212" i="4"/>
  <c r="H212" i="4"/>
  <c r="J211" i="4"/>
  <c r="I211" i="4"/>
  <c r="H211" i="4"/>
  <c r="J210" i="4"/>
  <c r="I210" i="4"/>
  <c r="H210" i="4"/>
  <c r="J209" i="4"/>
  <c r="I209" i="4"/>
  <c r="H209" i="4"/>
  <c r="J208" i="4"/>
  <c r="I208" i="4"/>
  <c r="H208" i="4"/>
  <c r="J207" i="4"/>
  <c r="I207" i="4"/>
  <c r="H207" i="4"/>
  <c r="J206" i="4"/>
  <c r="I206" i="4"/>
  <c r="H206" i="4"/>
  <c r="J205" i="4"/>
  <c r="I205" i="4"/>
  <c r="H205" i="4"/>
  <c r="J204" i="4"/>
  <c r="I204" i="4"/>
  <c r="H204" i="4"/>
  <c r="J203" i="4"/>
  <c r="I203" i="4"/>
  <c r="H203" i="4"/>
  <c r="J202" i="4"/>
  <c r="I202" i="4"/>
  <c r="H202" i="4"/>
  <c r="J201" i="4"/>
  <c r="I201" i="4"/>
  <c r="H201" i="4"/>
  <c r="J200" i="4"/>
  <c r="I200" i="4"/>
  <c r="H200" i="4"/>
  <c r="J199" i="4"/>
  <c r="I199" i="4"/>
  <c r="H199" i="4"/>
  <c r="J198" i="4"/>
  <c r="I198" i="4"/>
  <c r="H198" i="4"/>
  <c r="J197" i="4"/>
  <c r="I197" i="4"/>
  <c r="H197" i="4"/>
  <c r="J196" i="4"/>
  <c r="I196" i="4"/>
  <c r="H196" i="4"/>
  <c r="J195" i="4"/>
  <c r="I195" i="4"/>
  <c r="H195" i="4"/>
  <c r="J194" i="4"/>
  <c r="I194" i="4"/>
  <c r="H194" i="4"/>
  <c r="J193" i="4"/>
  <c r="I193" i="4"/>
  <c r="H193" i="4"/>
  <c r="J192" i="4"/>
  <c r="I192" i="4"/>
  <c r="H192" i="4"/>
  <c r="J191" i="4"/>
  <c r="I191" i="4"/>
  <c r="H191" i="4"/>
  <c r="J190" i="4"/>
  <c r="I190" i="4"/>
  <c r="H190" i="4"/>
  <c r="J189" i="4"/>
  <c r="I189" i="4"/>
  <c r="H189" i="4"/>
  <c r="J188" i="4"/>
  <c r="I188" i="4"/>
  <c r="H188" i="4"/>
  <c r="J187" i="4"/>
  <c r="I187" i="4"/>
  <c r="H187" i="4"/>
  <c r="J186" i="4"/>
  <c r="I186" i="4"/>
  <c r="H186" i="4"/>
  <c r="J185" i="4"/>
  <c r="I185" i="4"/>
  <c r="H185" i="4"/>
  <c r="J184" i="4"/>
  <c r="I184" i="4"/>
  <c r="H184" i="4"/>
  <c r="J183" i="4"/>
  <c r="I183" i="4"/>
  <c r="H183" i="4"/>
  <c r="J182" i="4"/>
  <c r="I182" i="4"/>
  <c r="H182" i="4"/>
  <c r="J181" i="4"/>
  <c r="I181" i="4"/>
  <c r="H181" i="4"/>
  <c r="J180" i="4"/>
  <c r="I180" i="4"/>
  <c r="H180" i="4"/>
  <c r="J179" i="4"/>
  <c r="I179" i="4"/>
  <c r="H179" i="4"/>
  <c r="J178" i="4"/>
  <c r="I178" i="4"/>
  <c r="H178" i="4"/>
  <c r="J177" i="4"/>
  <c r="I177" i="4"/>
  <c r="H177" i="4"/>
  <c r="J176" i="4"/>
  <c r="I176" i="4"/>
  <c r="H176" i="4"/>
  <c r="J175" i="4"/>
  <c r="I175" i="4"/>
  <c r="H175" i="4"/>
  <c r="J174" i="4"/>
  <c r="I174" i="4"/>
  <c r="H174" i="4"/>
  <c r="J173" i="4"/>
  <c r="I173" i="4"/>
  <c r="H173" i="4"/>
  <c r="J172" i="4"/>
  <c r="I172" i="4"/>
  <c r="H172" i="4"/>
  <c r="J171" i="4"/>
  <c r="I171" i="4"/>
  <c r="H171" i="4"/>
  <c r="J170" i="4"/>
  <c r="I170" i="4"/>
  <c r="H170" i="4"/>
  <c r="J169" i="4"/>
  <c r="I169" i="4"/>
  <c r="H169" i="4"/>
  <c r="J168" i="4"/>
  <c r="I168" i="4"/>
  <c r="H168" i="4"/>
  <c r="J167" i="4"/>
  <c r="I167" i="4"/>
  <c r="H167" i="4"/>
  <c r="J166" i="4"/>
  <c r="I166" i="4"/>
  <c r="H166" i="4"/>
  <c r="J165" i="4"/>
  <c r="I165" i="4"/>
  <c r="H165" i="4"/>
  <c r="J164" i="4"/>
  <c r="I164" i="4"/>
  <c r="H164" i="4"/>
  <c r="J163" i="4"/>
  <c r="I163" i="4"/>
  <c r="H163" i="4"/>
  <c r="J162" i="4"/>
  <c r="I162" i="4"/>
  <c r="H162" i="4"/>
  <c r="J161" i="4"/>
  <c r="I161" i="4"/>
  <c r="H161" i="4"/>
  <c r="J160" i="4"/>
  <c r="I160" i="4"/>
  <c r="H160" i="4"/>
  <c r="J159" i="4"/>
  <c r="I159" i="4"/>
  <c r="H159" i="4"/>
  <c r="J158" i="4"/>
  <c r="I158" i="4"/>
  <c r="H158" i="4"/>
  <c r="J157" i="4"/>
  <c r="I157" i="4"/>
  <c r="H157" i="4"/>
  <c r="J156" i="4"/>
  <c r="I156" i="4"/>
  <c r="H156" i="4"/>
  <c r="J155" i="4"/>
  <c r="I155" i="4"/>
  <c r="H155" i="4"/>
  <c r="J154" i="4"/>
  <c r="I154" i="4"/>
  <c r="H154" i="4"/>
  <c r="J153" i="4"/>
  <c r="I153" i="4"/>
  <c r="H153" i="4"/>
  <c r="J152" i="4"/>
  <c r="I152" i="4"/>
  <c r="H152" i="4"/>
  <c r="J151" i="4"/>
  <c r="I151" i="4"/>
  <c r="H151" i="4"/>
  <c r="J150" i="4"/>
  <c r="I150" i="4"/>
  <c r="H150" i="4"/>
  <c r="J149" i="4"/>
  <c r="I149" i="4"/>
  <c r="H149" i="4"/>
  <c r="J148" i="4"/>
  <c r="I148" i="4"/>
  <c r="H148" i="4"/>
  <c r="J147" i="4"/>
  <c r="I147" i="4"/>
  <c r="H147" i="4"/>
  <c r="J146" i="4"/>
  <c r="I146" i="4"/>
  <c r="H146" i="4"/>
  <c r="J145" i="4"/>
  <c r="I145" i="4"/>
  <c r="H145" i="4"/>
  <c r="J144" i="4"/>
  <c r="I144" i="4"/>
  <c r="H144" i="4"/>
  <c r="J143" i="4"/>
  <c r="I143" i="4"/>
  <c r="H143" i="4"/>
  <c r="J142" i="4"/>
  <c r="I142" i="4"/>
  <c r="H142" i="4"/>
  <c r="J141" i="4"/>
  <c r="I141" i="4"/>
  <c r="H141" i="4"/>
  <c r="J140" i="4"/>
  <c r="I140" i="4"/>
  <c r="H140" i="4"/>
  <c r="J139" i="4"/>
  <c r="I139" i="4"/>
  <c r="H139" i="4"/>
  <c r="J138" i="4"/>
  <c r="I138" i="4"/>
  <c r="H138" i="4"/>
  <c r="J137" i="4"/>
  <c r="I137" i="4"/>
  <c r="H137" i="4"/>
  <c r="J136" i="4"/>
  <c r="I136" i="4"/>
  <c r="H136" i="4"/>
  <c r="J135" i="4"/>
  <c r="I135" i="4"/>
  <c r="H135" i="4"/>
  <c r="J134" i="4"/>
  <c r="I134" i="4"/>
  <c r="H134" i="4"/>
  <c r="J133" i="4"/>
  <c r="I133" i="4"/>
  <c r="H133" i="4"/>
  <c r="J132" i="4"/>
  <c r="I132" i="4"/>
  <c r="H132" i="4"/>
  <c r="J131" i="4"/>
  <c r="I131" i="4"/>
  <c r="H131" i="4"/>
  <c r="J130" i="4"/>
  <c r="I130" i="4"/>
  <c r="H130" i="4"/>
  <c r="J129" i="4"/>
  <c r="I129" i="4"/>
  <c r="H129" i="4"/>
  <c r="J128" i="4"/>
  <c r="I128" i="4"/>
  <c r="H128" i="4"/>
  <c r="J127" i="4"/>
  <c r="I127" i="4"/>
  <c r="H127" i="4"/>
  <c r="J126" i="4"/>
  <c r="I126" i="4"/>
  <c r="H126" i="4"/>
  <c r="J125" i="4"/>
  <c r="I125" i="4"/>
  <c r="H125" i="4"/>
  <c r="J124" i="4"/>
  <c r="I124" i="4"/>
  <c r="H124" i="4"/>
  <c r="J123" i="4"/>
  <c r="I123" i="4"/>
  <c r="H123" i="4"/>
  <c r="J122" i="4"/>
  <c r="I122" i="4"/>
  <c r="H122" i="4"/>
  <c r="J121" i="4"/>
  <c r="I121" i="4"/>
  <c r="H121" i="4"/>
  <c r="J120" i="4"/>
  <c r="I120" i="4"/>
  <c r="H120" i="4"/>
  <c r="J119" i="4"/>
  <c r="I119" i="4"/>
  <c r="H119" i="4"/>
  <c r="J118" i="4"/>
  <c r="I118" i="4"/>
  <c r="H118" i="4"/>
  <c r="J117" i="4"/>
  <c r="I117" i="4"/>
  <c r="H117" i="4"/>
  <c r="J116" i="4"/>
  <c r="I116" i="4"/>
  <c r="H116" i="4"/>
  <c r="J115" i="4"/>
  <c r="I115" i="4"/>
  <c r="H115" i="4"/>
  <c r="J114" i="4"/>
  <c r="I114" i="4"/>
  <c r="H114" i="4"/>
  <c r="J113" i="4"/>
  <c r="I113" i="4"/>
  <c r="H113" i="4"/>
  <c r="J112" i="4"/>
  <c r="I112" i="4"/>
  <c r="H112" i="4"/>
  <c r="J111" i="4"/>
  <c r="I111" i="4"/>
  <c r="H111" i="4"/>
  <c r="J110" i="4"/>
  <c r="I110" i="4"/>
  <c r="H110" i="4"/>
  <c r="J109" i="4"/>
  <c r="I109" i="4"/>
  <c r="H109" i="4"/>
  <c r="J108" i="4"/>
  <c r="I108" i="4"/>
  <c r="H108" i="4"/>
  <c r="J107" i="4"/>
  <c r="I107" i="4"/>
  <c r="H107" i="4"/>
  <c r="J106" i="4"/>
  <c r="I106" i="4"/>
  <c r="H106" i="4"/>
  <c r="J105" i="4"/>
  <c r="I105" i="4"/>
  <c r="H105" i="4"/>
  <c r="J104" i="4"/>
  <c r="I104" i="4"/>
  <c r="H104" i="4"/>
  <c r="J103" i="4"/>
  <c r="I103" i="4"/>
  <c r="H103" i="4"/>
  <c r="J102" i="4"/>
  <c r="I102" i="4"/>
  <c r="H102" i="4"/>
  <c r="J101" i="4"/>
  <c r="I101" i="4"/>
  <c r="H101" i="4"/>
  <c r="J100" i="4"/>
  <c r="I100" i="4"/>
  <c r="H100" i="4"/>
  <c r="J99" i="4"/>
  <c r="I99" i="4"/>
  <c r="H99" i="4"/>
  <c r="J98" i="4"/>
  <c r="I98" i="4"/>
  <c r="H98" i="4"/>
  <c r="J97" i="4"/>
  <c r="I97" i="4"/>
  <c r="H97" i="4"/>
  <c r="J96" i="4"/>
  <c r="I96" i="4"/>
  <c r="H96" i="4"/>
  <c r="J95" i="4"/>
  <c r="I95" i="4"/>
  <c r="H95" i="4"/>
  <c r="J94" i="4"/>
  <c r="I94" i="4"/>
  <c r="H94" i="4"/>
  <c r="J93" i="4"/>
  <c r="I93" i="4"/>
  <c r="H93" i="4"/>
  <c r="J92" i="4"/>
  <c r="I92" i="4"/>
  <c r="H92" i="4"/>
  <c r="J91" i="4"/>
  <c r="I91" i="4"/>
  <c r="H91" i="4"/>
  <c r="J90" i="4"/>
  <c r="I90" i="4"/>
  <c r="H90" i="4"/>
  <c r="J89" i="4"/>
  <c r="I89" i="4"/>
  <c r="H89" i="4"/>
  <c r="J88" i="4"/>
  <c r="I88" i="4"/>
  <c r="H88" i="4"/>
  <c r="J87" i="4"/>
  <c r="I87" i="4"/>
  <c r="H87" i="4"/>
  <c r="J86" i="4"/>
  <c r="I86" i="4"/>
  <c r="H86" i="4"/>
  <c r="J85" i="4"/>
  <c r="I85" i="4"/>
  <c r="H85" i="4"/>
  <c r="J84" i="4"/>
  <c r="I84" i="4"/>
  <c r="H84" i="4"/>
  <c r="J83" i="4"/>
  <c r="I83" i="4"/>
  <c r="H83" i="4"/>
  <c r="J82" i="4"/>
  <c r="I82" i="4"/>
  <c r="H82" i="4"/>
  <c r="J81" i="4"/>
  <c r="I81" i="4"/>
  <c r="H81" i="4"/>
  <c r="J80" i="4"/>
  <c r="I80" i="4"/>
  <c r="H80" i="4"/>
  <c r="J79" i="4"/>
  <c r="I79" i="4"/>
  <c r="H79" i="4"/>
  <c r="J78" i="4"/>
  <c r="I78" i="4"/>
  <c r="H78" i="4"/>
  <c r="J77" i="4"/>
  <c r="I77" i="4"/>
  <c r="H77" i="4"/>
  <c r="J76" i="4"/>
  <c r="I76" i="4"/>
  <c r="H76" i="4"/>
  <c r="J75" i="4"/>
  <c r="I75" i="4"/>
  <c r="H75" i="4"/>
  <c r="J74" i="4"/>
  <c r="I74" i="4"/>
  <c r="H74" i="4"/>
  <c r="J73" i="4"/>
  <c r="I73" i="4"/>
  <c r="H73" i="4"/>
  <c r="J72" i="4"/>
  <c r="I72" i="4"/>
  <c r="H72" i="4"/>
  <c r="J71" i="4"/>
  <c r="I71" i="4"/>
  <c r="H71" i="4"/>
  <c r="J70" i="4"/>
  <c r="I70" i="4"/>
  <c r="H70" i="4"/>
  <c r="J69" i="4"/>
  <c r="I69" i="4"/>
  <c r="H69" i="4"/>
  <c r="J68" i="4"/>
  <c r="I68" i="4"/>
  <c r="H68" i="4"/>
  <c r="J67" i="4"/>
  <c r="I67" i="4"/>
  <c r="H67" i="4"/>
  <c r="J66" i="4"/>
  <c r="I66" i="4"/>
  <c r="H66" i="4"/>
  <c r="J65" i="4"/>
  <c r="I65" i="4"/>
  <c r="H65" i="4"/>
  <c r="J64" i="4"/>
  <c r="I64" i="4"/>
  <c r="H64" i="4"/>
  <c r="J63" i="4"/>
  <c r="I63" i="4"/>
  <c r="H63" i="4"/>
  <c r="J62" i="4"/>
  <c r="I62" i="4"/>
  <c r="H62" i="4"/>
  <c r="J61" i="4"/>
  <c r="I61" i="4"/>
  <c r="H61" i="4"/>
  <c r="J60" i="4"/>
  <c r="I60" i="4"/>
  <c r="H60" i="4"/>
  <c r="J59" i="4"/>
  <c r="I59" i="4"/>
  <c r="H59" i="4"/>
  <c r="J58" i="4"/>
  <c r="I58" i="4"/>
  <c r="H58" i="4"/>
  <c r="J57" i="4"/>
  <c r="I57" i="4"/>
  <c r="H57" i="4"/>
  <c r="J56" i="4"/>
  <c r="I56" i="4"/>
  <c r="H56" i="4"/>
  <c r="J55" i="4"/>
  <c r="I55" i="4"/>
  <c r="H55" i="4"/>
  <c r="J54" i="4"/>
  <c r="I54" i="4"/>
  <c r="H54" i="4"/>
  <c r="J53" i="4"/>
  <c r="I53" i="4"/>
  <c r="H53" i="4"/>
  <c r="J52" i="4"/>
  <c r="I52" i="4"/>
  <c r="H52" i="4"/>
  <c r="J51" i="4"/>
  <c r="I51" i="4"/>
  <c r="H51" i="4"/>
  <c r="J50" i="4"/>
  <c r="I50" i="4"/>
  <c r="H50" i="4"/>
  <c r="J49" i="4"/>
  <c r="I49" i="4"/>
  <c r="H49" i="4"/>
  <c r="J48" i="4"/>
  <c r="I48" i="4"/>
  <c r="H48" i="4"/>
  <c r="J47" i="4"/>
  <c r="I47" i="4"/>
  <c r="H47" i="4"/>
  <c r="J46" i="4"/>
  <c r="I46" i="4"/>
  <c r="H46" i="4"/>
  <c r="J45" i="4"/>
  <c r="I45" i="4"/>
  <c r="H45" i="4"/>
  <c r="J44" i="4"/>
  <c r="I44" i="4"/>
  <c r="H44" i="4"/>
  <c r="J43" i="4"/>
  <c r="I43" i="4"/>
  <c r="H43" i="4"/>
  <c r="J42" i="4"/>
  <c r="I42" i="4"/>
  <c r="H42" i="4"/>
  <c r="J41" i="4"/>
  <c r="I41" i="4"/>
  <c r="H41" i="4"/>
  <c r="J40" i="4"/>
  <c r="I40" i="4"/>
  <c r="H40" i="4"/>
  <c r="J39" i="4"/>
  <c r="I39" i="4"/>
  <c r="H39" i="4"/>
  <c r="J38" i="4"/>
  <c r="I38" i="4"/>
  <c r="H38" i="4"/>
  <c r="J37" i="4"/>
  <c r="I37" i="4"/>
  <c r="H37" i="4"/>
  <c r="J36" i="4"/>
  <c r="I36" i="4"/>
  <c r="H36" i="4"/>
  <c r="J35" i="4"/>
  <c r="I35" i="4"/>
  <c r="H35" i="4"/>
  <c r="J34" i="4"/>
  <c r="I34" i="4"/>
  <c r="H34" i="4"/>
  <c r="J33" i="4"/>
  <c r="I33" i="4"/>
  <c r="H33" i="4"/>
  <c r="J32" i="4"/>
  <c r="I32" i="4"/>
  <c r="H32" i="4"/>
  <c r="J31" i="4"/>
  <c r="I31" i="4"/>
  <c r="H31" i="4"/>
  <c r="J30" i="4"/>
  <c r="I30" i="4"/>
  <c r="H30" i="4"/>
  <c r="J29" i="4"/>
  <c r="I29" i="4"/>
  <c r="H29" i="4"/>
  <c r="J28" i="4"/>
  <c r="I28" i="4"/>
  <c r="H28" i="4"/>
  <c r="J27" i="4"/>
  <c r="I27" i="4"/>
  <c r="H27" i="4"/>
  <c r="J26" i="4"/>
  <c r="I26" i="4"/>
  <c r="H26" i="4"/>
  <c r="J25" i="4"/>
  <c r="I25" i="4"/>
  <c r="H25" i="4"/>
  <c r="J24" i="4"/>
  <c r="I24" i="4"/>
  <c r="H24" i="4"/>
  <c r="J23" i="4"/>
  <c r="I23" i="4"/>
  <c r="H23" i="4"/>
  <c r="J22" i="4"/>
  <c r="I22" i="4"/>
  <c r="H22" i="4"/>
  <c r="J21" i="4"/>
  <c r="I21" i="4"/>
  <c r="H21" i="4"/>
  <c r="J20" i="4"/>
  <c r="I20" i="4"/>
  <c r="H20" i="4"/>
  <c r="J19" i="4"/>
  <c r="I19" i="4"/>
  <c r="H19" i="4"/>
  <c r="J18" i="4"/>
  <c r="I18" i="4"/>
  <c r="H18" i="4"/>
  <c r="J17" i="4"/>
  <c r="I17" i="4"/>
  <c r="H17" i="4"/>
  <c r="J16" i="4"/>
  <c r="I16" i="4"/>
  <c r="H16" i="4"/>
  <c r="J15" i="4"/>
  <c r="I15" i="4"/>
  <c r="H15" i="4"/>
  <c r="J14" i="4"/>
  <c r="I14" i="4"/>
  <c r="H14" i="4"/>
  <c r="J13" i="4"/>
  <c r="I13" i="4"/>
  <c r="H13" i="4"/>
  <c r="J12" i="4"/>
  <c r="I12" i="4"/>
  <c r="H12" i="4"/>
  <c r="J11" i="4"/>
  <c r="I11" i="4"/>
  <c r="H11" i="4"/>
  <c r="J10" i="4"/>
  <c r="I10" i="4"/>
  <c r="H10" i="4"/>
  <c r="J9" i="4"/>
  <c r="I9" i="4"/>
  <c r="H9" i="4"/>
  <c r="J8" i="4"/>
  <c r="I8" i="4"/>
  <c r="H8" i="4"/>
  <c r="J7" i="4"/>
  <c r="I7" i="4"/>
  <c r="H7" i="4"/>
  <c r="J6" i="4"/>
  <c r="I6" i="4"/>
  <c r="H6" i="4"/>
  <c r="J5" i="4"/>
  <c r="I5" i="4"/>
  <c r="H5" i="4"/>
  <c r="J4" i="4"/>
  <c r="I4" i="4"/>
  <c r="H4" i="4"/>
  <c r="J3" i="4"/>
  <c r="I3" i="4"/>
  <c r="H3" i="4"/>
  <c r="J2" i="4"/>
  <c r="I2" i="4"/>
  <c r="H2" i="4"/>
  <c r="G4" i="13" l="1"/>
  <c r="E6" i="13"/>
  <c r="E8" i="13"/>
  <c r="E10" i="13"/>
  <c r="G12" i="13"/>
  <c r="G16" i="13"/>
  <c r="E4" i="13"/>
  <c r="G6" i="13"/>
  <c r="C5" i="13"/>
  <c r="G7" i="13"/>
  <c r="C9" i="13"/>
  <c r="G11" i="13"/>
  <c r="C13" i="13"/>
  <c r="G15" i="13"/>
  <c r="C17" i="13"/>
  <c r="F10" i="13"/>
  <c r="D12" i="13"/>
  <c r="F4" i="13"/>
  <c r="D16" i="13"/>
  <c r="G8" i="13"/>
  <c r="C15" i="13"/>
  <c r="C11" i="13"/>
  <c r="C7" i="13"/>
  <c r="D17" i="13"/>
  <c r="F15" i="13"/>
  <c r="D13" i="13"/>
  <c r="F11" i="13"/>
  <c r="F17" i="13"/>
  <c r="D15" i="13"/>
  <c r="F13" i="13"/>
  <c r="G10" i="13"/>
  <c r="F7" i="13"/>
  <c r="F6" i="13"/>
  <c r="C4" i="13"/>
  <c r="G5" i="13"/>
  <c r="G18" i="13"/>
  <c r="G17" i="13"/>
  <c r="G14" i="13"/>
  <c r="G13" i="13"/>
  <c r="G9" i="13"/>
  <c r="F18" i="13"/>
  <c r="F16" i="13"/>
  <c r="F14" i="13"/>
  <c r="F12" i="13"/>
  <c r="F9" i="13"/>
  <c r="F8" i="13"/>
  <c r="F5" i="13"/>
  <c r="E18" i="13"/>
  <c r="E17" i="13"/>
  <c r="E16" i="13"/>
  <c r="E15" i="13"/>
  <c r="E14" i="13"/>
  <c r="E13" i="13"/>
  <c r="E12" i="13"/>
  <c r="E11" i="13"/>
  <c r="E9" i="13"/>
  <c r="E7" i="13"/>
  <c r="E5" i="13"/>
  <c r="D11" i="13"/>
  <c r="D10" i="13"/>
  <c r="D9" i="13"/>
  <c r="D8" i="13"/>
  <c r="D7" i="13"/>
  <c r="D6" i="13"/>
  <c r="D5" i="13"/>
  <c r="D4" i="13"/>
  <c r="C18" i="13"/>
  <c r="C16" i="13"/>
  <c r="C14" i="13"/>
  <c r="C12" i="13"/>
  <c r="C10" i="13"/>
  <c r="C8" i="13"/>
  <c r="C6" i="13"/>
  <c r="B3" i="13"/>
  <c r="G3" i="13" l="1"/>
  <c r="F3" i="13"/>
  <c r="C3" i="13"/>
  <c r="E3" i="13"/>
  <c r="D3" i="13"/>
  <c r="D33" i="5"/>
  <c r="I63" i="13"/>
  <c r="I65" i="13"/>
  <c r="I67" i="13"/>
  <c r="I69" i="13"/>
  <c r="I64" i="13"/>
  <c r="I66" i="13"/>
  <c r="I68" i="13"/>
  <c r="O62" i="13"/>
  <c r="D31" i="5" l="1"/>
  <c r="J69" i="13"/>
  <c r="J65" i="13"/>
  <c r="O68" i="13"/>
  <c r="O64" i="13"/>
  <c r="J62" i="13"/>
  <c r="J66" i="13"/>
  <c r="O69" i="13"/>
  <c r="O65" i="13"/>
  <c r="J67" i="13"/>
  <c r="J63" i="13"/>
  <c r="O66" i="13"/>
  <c r="I62" i="13"/>
  <c r="J68" i="13"/>
  <c r="J64" i="13"/>
  <c r="O67" i="13"/>
  <c r="O63" i="13"/>
  <c r="A3" i="37" l="1"/>
  <c r="E24" i="13" l="1"/>
  <c r="E23" i="13"/>
  <c r="E22" i="13"/>
  <c r="E21" i="13"/>
  <c r="E20" i="13"/>
  <c r="H68" i="36" l="1"/>
  <c r="H72" i="36"/>
  <c r="H69" i="36"/>
  <c r="H70" i="36"/>
  <c r="H71" i="36"/>
  <c r="C3" i="37" l="1"/>
  <c r="B68" i="36" l="1"/>
  <c r="C68" i="36"/>
  <c r="D68" i="36"/>
  <c r="E68" i="36"/>
  <c r="F68" i="36"/>
  <c r="G68" i="36"/>
  <c r="B69" i="36"/>
  <c r="C69" i="36"/>
  <c r="D69" i="36"/>
  <c r="E69" i="36"/>
  <c r="F69" i="36"/>
  <c r="G69" i="36"/>
  <c r="B70" i="36"/>
  <c r="C70" i="36"/>
  <c r="D70" i="36"/>
  <c r="E70" i="36"/>
  <c r="F70" i="36"/>
  <c r="G70" i="36"/>
  <c r="B71" i="36"/>
  <c r="C71" i="36"/>
  <c r="D71" i="36"/>
  <c r="E71" i="36"/>
  <c r="F71" i="36"/>
  <c r="G71" i="36"/>
  <c r="B72" i="36"/>
  <c r="C72" i="36"/>
  <c r="D72" i="36"/>
  <c r="E72" i="36"/>
  <c r="F72" i="36"/>
  <c r="G72" i="36"/>
</calcChain>
</file>

<file path=xl/sharedStrings.xml><?xml version="1.0" encoding="utf-8"?>
<sst xmlns="http://schemas.openxmlformats.org/spreadsheetml/2006/main" count="3219" uniqueCount="582">
  <si>
    <t>ID</t>
  </si>
  <si>
    <t>01</t>
  </si>
  <si>
    <t>Status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</si>
  <si>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</si>
  <si>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</si>
  <si>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</si>
  <si>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</si>
  <si>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</si>
  <si>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</si>
  <si>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</si>
  <si>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</si>
  <si>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</si>
  <si>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</si>
  <si>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</si>
  <si>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</si>
  <si>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</si>
  <si>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</si>
  <si>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</si>
  <si>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Active</t>
  </si>
  <si>
    <t>Inactive</t>
  </si>
  <si>
    <t>Red</t>
  </si>
  <si>
    <t>Green</t>
  </si>
  <si>
    <t>Grey</t>
  </si>
  <si>
    <t>White</t>
  </si>
  <si>
    <t>R</t>
  </si>
  <si>
    <t>G</t>
  </si>
  <si>
    <t>B</t>
  </si>
  <si>
    <t>0</t>
  </si>
  <si>
    <t>255</t>
  </si>
  <si>
    <t>128</t>
  </si>
  <si>
    <t>State</t>
  </si>
  <si>
    <t>Color</t>
  </si>
  <si>
    <t>LightGrey</t>
  </si>
  <si>
    <t>192</t>
  </si>
  <si>
    <t>Amber</t>
  </si>
  <si>
    <t xml:space="preserve"> </t>
  </si>
  <si>
    <t>LightGreen</t>
  </si>
  <si>
    <t>Central</t>
  </si>
  <si>
    <t>Company</t>
  </si>
  <si>
    <t>See actions if active</t>
  </si>
  <si>
    <t>Yes</t>
  </si>
  <si>
    <t>Action</t>
  </si>
  <si>
    <t>010103</t>
  </si>
  <si>
    <t>010104</t>
  </si>
  <si>
    <t>010105</t>
  </si>
  <si>
    <t>010203</t>
  </si>
  <si>
    <t>010204</t>
  </si>
  <si>
    <t>010205</t>
  </si>
  <si>
    <t>010303</t>
  </si>
  <si>
    <t>010304</t>
  </si>
  <si>
    <t>010305</t>
  </si>
  <si>
    <t>010403</t>
  </si>
  <si>
    <t>010505</t>
  </si>
  <si>
    <t>010503</t>
  </si>
  <si>
    <t>010504</t>
  </si>
  <si>
    <t>010603</t>
  </si>
  <si>
    <t>010604</t>
  </si>
  <si>
    <t>010605</t>
  </si>
  <si>
    <t>010703</t>
  </si>
  <si>
    <t>010704</t>
  </si>
  <si>
    <t>010705</t>
  </si>
  <si>
    <t>010803</t>
  </si>
  <si>
    <t>010804</t>
  </si>
  <si>
    <t>010805</t>
  </si>
  <si>
    <t>020103</t>
  </si>
  <si>
    <t>020104</t>
  </si>
  <si>
    <t>020105</t>
  </si>
  <si>
    <t>020203</t>
  </si>
  <si>
    <t>020204</t>
  </si>
  <si>
    <t>020205</t>
  </si>
  <si>
    <t>020303</t>
  </si>
  <si>
    <t>020304</t>
  </si>
  <si>
    <t>020305</t>
  </si>
  <si>
    <t>020403</t>
  </si>
  <si>
    <t>020505</t>
  </si>
  <si>
    <t>020503</t>
  </si>
  <si>
    <t>020504</t>
  </si>
  <si>
    <t>020603</t>
  </si>
  <si>
    <t>020604</t>
  </si>
  <si>
    <t>020605</t>
  </si>
  <si>
    <t>020703</t>
  </si>
  <si>
    <t>020704</t>
  </si>
  <si>
    <t>020705</t>
  </si>
  <si>
    <t>020803</t>
  </si>
  <si>
    <t>020804</t>
  </si>
  <si>
    <t>020805</t>
  </si>
  <si>
    <t>030103</t>
  </si>
  <si>
    <t>030104</t>
  </si>
  <si>
    <t>030105</t>
  </si>
  <si>
    <t>030203</t>
  </si>
  <si>
    <t>030204</t>
  </si>
  <si>
    <t>030205</t>
  </si>
  <si>
    <t>030303</t>
  </si>
  <si>
    <t>030304</t>
  </si>
  <si>
    <t>030305</t>
  </si>
  <si>
    <t>030403</t>
  </si>
  <si>
    <t>030505</t>
  </si>
  <si>
    <t>030503</t>
  </si>
  <si>
    <t>030504</t>
  </si>
  <si>
    <t>030603</t>
  </si>
  <si>
    <t>030604</t>
  </si>
  <si>
    <t>030605</t>
  </si>
  <si>
    <t>030703</t>
  </si>
  <si>
    <t>030704</t>
  </si>
  <si>
    <t>030705</t>
  </si>
  <si>
    <t>030803</t>
  </si>
  <si>
    <t>030804</t>
  </si>
  <si>
    <t>030805</t>
  </si>
  <si>
    <t>CHANGE STATUS</t>
  </si>
  <si>
    <t>Subject</t>
  </si>
  <si>
    <t>Head</t>
  </si>
  <si>
    <t>Body</t>
  </si>
  <si>
    <t>Signature</t>
  </si>
  <si>
    <t>SEND STATUS</t>
  </si>
  <si>
    <t>010402</t>
  </si>
  <si>
    <t>020402</t>
  </si>
  <si>
    <t>030402</t>
  </si>
  <si>
    <t>Code</t>
  </si>
  <si>
    <t>010102</t>
  </si>
  <si>
    <t>010202</t>
  </si>
  <si>
    <t>010302</t>
  </si>
  <si>
    <t>010502</t>
  </si>
  <si>
    <t>010602</t>
  </si>
  <si>
    <t>010702</t>
  </si>
  <si>
    <t>010802</t>
  </si>
  <si>
    <t>020102</t>
  </si>
  <si>
    <t>020202</t>
  </si>
  <si>
    <t>020302</t>
  </si>
  <si>
    <t>020502</t>
  </si>
  <si>
    <t>020602</t>
  </si>
  <si>
    <t>020702</t>
  </si>
  <si>
    <t>020802</t>
  </si>
  <si>
    <t>030102</t>
  </si>
  <si>
    <t>030202</t>
  </si>
  <si>
    <t>030302</t>
  </si>
  <si>
    <t>030502</t>
  </si>
  <si>
    <t>030602</t>
  </si>
  <si>
    <t>030702</t>
  </si>
  <si>
    <t>030802</t>
  </si>
  <si>
    <t>010903</t>
  </si>
  <si>
    <t>010904</t>
  </si>
  <si>
    <t>010905</t>
  </si>
  <si>
    <t>010902</t>
  </si>
  <si>
    <t>020903</t>
  </si>
  <si>
    <t>020904</t>
  </si>
  <si>
    <t>020905</t>
  </si>
  <si>
    <t>020902</t>
  </si>
  <si>
    <t>030903</t>
  </si>
  <si>
    <t>030904</t>
  </si>
  <si>
    <t>030905</t>
  </si>
  <si>
    <t>030902</t>
  </si>
  <si>
    <t>In scope</t>
  </si>
  <si>
    <t>Group</t>
  </si>
  <si>
    <t>to be started</t>
  </si>
  <si>
    <t>in progress</t>
  </si>
  <si>
    <t>completed</t>
  </si>
  <si>
    <t>evidence provided</t>
  </si>
  <si>
    <t>Business Area</t>
  </si>
  <si>
    <t>Blue</t>
  </si>
  <si>
    <t>010404</t>
  </si>
  <si>
    <t>010405</t>
  </si>
  <si>
    <t>011002</t>
  </si>
  <si>
    <t>011003</t>
  </si>
  <si>
    <t>011004</t>
  </si>
  <si>
    <t>011005</t>
  </si>
  <si>
    <t>011102</t>
  </si>
  <si>
    <t>011103</t>
  </si>
  <si>
    <t>011104</t>
  </si>
  <si>
    <t>011105</t>
  </si>
  <si>
    <t>011202</t>
  </si>
  <si>
    <t>011203</t>
  </si>
  <si>
    <t>011204</t>
  </si>
  <si>
    <t>011205</t>
  </si>
  <si>
    <t>011302</t>
  </si>
  <si>
    <t>011303</t>
  </si>
  <si>
    <t>011304</t>
  </si>
  <si>
    <t>011305</t>
  </si>
  <si>
    <t>011402</t>
  </si>
  <si>
    <t>011403</t>
  </si>
  <si>
    <t>011404</t>
  </si>
  <si>
    <t>011405</t>
  </si>
  <si>
    <t>020404</t>
  </si>
  <si>
    <t>020405</t>
  </si>
  <si>
    <t>021002</t>
  </si>
  <si>
    <t>021003</t>
  </si>
  <si>
    <t>021004</t>
  </si>
  <si>
    <t>021005</t>
  </si>
  <si>
    <t>021102</t>
  </si>
  <si>
    <t>021103</t>
  </si>
  <si>
    <t>021104</t>
  </si>
  <si>
    <t>021105</t>
  </si>
  <si>
    <t>021202</t>
  </si>
  <si>
    <t>021203</t>
  </si>
  <si>
    <t>021204</t>
  </si>
  <si>
    <t>021205</t>
  </si>
  <si>
    <t>021302</t>
  </si>
  <si>
    <t>021303</t>
  </si>
  <si>
    <t>021304</t>
  </si>
  <si>
    <t>021305</t>
  </si>
  <si>
    <t>021402</t>
  </si>
  <si>
    <t>021403</t>
  </si>
  <si>
    <t>021404</t>
  </si>
  <si>
    <t>021405</t>
  </si>
  <si>
    <t>030404</t>
  </si>
  <si>
    <t>030405</t>
  </si>
  <si>
    <t>031002</t>
  </si>
  <si>
    <t>031003</t>
  </si>
  <si>
    <t>031004</t>
  </si>
  <si>
    <t>031005</t>
  </si>
  <si>
    <t>031102</t>
  </si>
  <si>
    <t>031103</t>
  </si>
  <si>
    <t>031104</t>
  </si>
  <si>
    <t>031105</t>
  </si>
  <si>
    <t>031202</t>
  </si>
  <si>
    <t>031203</t>
  </si>
  <si>
    <t>031204</t>
  </si>
  <si>
    <t>031205</t>
  </si>
  <si>
    <t>031302</t>
  </si>
  <si>
    <t>031303</t>
  </si>
  <si>
    <t>031304</t>
  </si>
  <si>
    <t>031305</t>
  </si>
  <si>
    <t>031402</t>
  </si>
  <si>
    <t>031403</t>
  </si>
  <si>
    <t>031404</t>
  </si>
  <si>
    <t>031405</t>
  </si>
  <si>
    <t>010101</t>
  </si>
  <si>
    <t>010201</t>
  </si>
  <si>
    <t>010301</t>
  </si>
  <si>
    <t>010401</t>
  </si>
  <si>
    <t>010501</t>
  </si>
  <si>
    <t>010601</t>
  </si>
  <si>
    <t>010701</t>
  </si>
  <si>
    <t>010801</t>
  </si>
  <si>
    <t>010901</t>
  </si>
  <si>
    <t>011001</t>
  </si>
  <si>
    <t>011101</t>
  </si>
  <si>
    <t>011201</t>
  </si>
  <si>
    <t>011301</t>
  </si>
  <si>
    <t>011401</t>
  </si>
  <si>
    <t>020101</t>
  </si>
  <si>
    <t>020201</t>
  </si>
  <si>
    <t>020301</t>
  </si>
  <si>
    <t>020401</t>
  </si>
  <si>
    <t>020501</t>
  </si>
  <si>
    <t>020601</t>
  </si>
  <si>
    <t>020701</t>
  </si>
  <si>
    <t>020801</t>
  </si>
  <si>
    <t>020901</t>
  </si>
  <si>
    <t>021001</t>
  </si>
  <si>
    <t>021101</t>
  </si>
  <si>
    <t>021201</t>
  </si>
  <si>
    <t>021301</t>
  </si>
  <si>
    <t>021401</t>
  </si>
  <si>
    <t>030101</t>
  </si>
  <si>
    <t>030201</t>
  </si>
  <si>
    <t>030301</t>
  </si>
  <si>
    <t>030401</t>
  </si>
  <si>
    <t>030501</t>
  </si>
  <si>
    <t>030601</t>
  </si>
  <si>
    <t>030701</t>
  </si>
  <si>
    <t>030801</t>
  </si>
  <si>
    <t>030901</t>
  </si>
  <si>
    <t>031001</t>
  </si>
  <si>
    <t>031101</t>
  </si>
  <si>
    <t>031201</t>
  </si>
  <si>
    <t>031301</t>
  </si>
  <si>
    <t>031401</t>
  </si>
  <si>
    <t>Sentonbehalfof:</t>
  </si>
  <si>
    <t>subject identifier:</t>
  </si>
  <si>
    <t>reply-to:</t>
  </si>
  <si>
    <t>Tracking</t>
  </si>
  <si>
    <t>Account Name:</t>
  </si>
  <si>
    <t>Folder in Inbox:</t>
  </si>
  <si>
    <t>No</t>
  </si>
  <si>
    <t>SUBJECTID Status from CURRENTDATE for BUSINESSAREA</t>
  </si>
  <si>
    <t>011501</t>
  </si>
  <si>
    <t>011502</t>
  </si>
  <si>
    <t>011503</t>
  </si>
  <si>
    <t>011504</t>
  </si>
  <si>
    <t>011505</t>
  </si>
  <si>
    <t>011601</t>
  </si>
  <si>
    <t>011602</t>
  </si>
  <si>
    <t>011603</t>
  </si>
  <si>
    <t>011604</t>
  </si>
  <si>
    <t>011605</t>
  </si>
  <si>
    <t>021501</t>
  </si>
  <si>
    <t>021502</t>
  </si>
  <si>
    <t>021503</t>
  </si>
  <si>
    <t>021504</t>
  </si>
  <si>
    <t>021505</t>
  </si>
  <si>
    <t>021601</t>
  </si>
  <si>
    <t>021602</t>
  </si>
  <si>
    <t>021603</t>
  </si>
  <si>
    <t>021604</t>
  </si>
  <si>
    <t>021605</t>
  </si>
  <si>
    <t>031501</t>
  </si>
  <si>
    <t>031502</t>
  </si>
  <si>
    <t>031503</t>
  </si>
  <si>
    <t>031504</t>
  </si>
  <si>
    <t>031505</t>
  </si>
  <si>
    <t>031601</t>
  </si>
  <si>
    <t>031602</t>
  </si>
  <si>
    <t>031603</t>
  </si>
  <si>
    <t>031604</t>
  </si>
  <si>
    <t>031605</t>
  </si>
  <si>
    <t>Grand Total</t>
  </si>
  <si>
    <t>To Be Set by</t>
  </si>
  <si>
    <t>To:</t>
  </si>
  <si>
    <t>Cc:</t>
  </si>
  <si>
    <t>WP ShortID</t>
  </si>
  <si>
    <t>Next status call:</t>
  </si>
  <si>
    <t>Postfach</t>
  </si>
  <si>
    <t>Infos</t>
  </si>
  <si>
    <t>Put in your Email Account Name</t>
  </si>
  <si>
    <t>Put in your Tracking Folders. Subfolders can be added in the cells to the right.</t>
  </si>
  <si>
    <t>Example:</t>
  </si>
  <si>
    <t>Keyword for reading from mail folder</t>
  </si>
  <si>
    <t>Necessary when standard mail box is personal and central PMO mailbox is different</t>
  </si>
  <si>
    <t>Recipient to which status updates by business area is sent to (mailto links)</t>
  </si>
  <si>
    <t>Ungroup for infos</t>
  </si>
  <si>
    <t>Mail Configuration</t>
  </si>
  <si>
    <t>Concatenate Emails in the cells to the right</t>
  </si>
  <si>
    <t>To and Cc:</t>
  </si>
  <si>
    <t>Work Package</t>
  </si>
  <si>
    <t>Deadline</t>
  </si>
  <si>
    <t>Issue</t>
  </si>
  <si>
    <t>Over-due</t>
  </si>
  <si>
    <t>Is calculated automatically</t>
  </si>
  <si>
    <t>Concatenate Emails to the right</t>
  </si>
  <si>
    <t>BA Status Table</t>
  </si>
  <si>
    <t>WP Status Table</t>
  </si>
  <si>
    <t>BA Status Table Copy</t>
  </si>
  <si>
    <t>released</t>
  </si>
  <si>
    <t>to status</t>
  </si>
  <si>
    <t>for package</t>
  </si>
  <si>
    <t>Change status for package</t>
  </si>
  <si>
    <t>To</t>
  </si>
  <si>
    <t>Inbox</t>
  </si>
  <si>
    <t>Folder:</t>
  </si>
  <si>
    <t>WP Short ID</t>
  </si>
  <si>
    <t>URL</t>
  </si>
  <si>
    <t>State1</t>
  </si>
  <si>
    <t>State2</t>
  </si>
  <si>
    <t>State3</t>
  </si>
  <si>
    <t>State4</t>
  </si>
  <si>
    <t>State5</t>
  </si>
  <si>
    <t>Workpackages</t>
  </si>
  <si>
    <t>StatusReplyMail</t>
  </si>
  <si>
    <t>PM-BLKI Block Internet Connection</t>
  </si>
  <si>
    <t>PM-BLKS Block System-To-System Connection</t>
  </si>
  <si>
    <t>PM-BLIP IP Blacklisting</t>
  </si>
  <si>
    <t>PM-RMAC Replace RAT</t>
  </si>
  <si>
    <t>PM-SHDN Sinkhole Domain Names</t>
  </si>
  <si>
    <t>PM-PWCE Enterprise Password Change</t>
  </si>
  <si>
    <t>PM-ESAE Implement ESAE</t>
  </si>
  <si>
    <t>PM-WHIT Application Whitelisting on DCs</t>
  </si>
  <si>
    <t>PM-CMPS</t>
  </si>
  <si>
    <t>PM-CMPS Identify Compromised Systems</t>
  </si>
  <si>
    <t>PM-REBS Rebuild Servers</t>
  </si>
  <si>
    <t>PM-REBC Rebuild Clients</t>
  </si>
  <si>
    <t>PM-PWCC Password Change for Privileged Local Accounts</t>
  </si>
  <si>
    <t>PM-MVUL Scan for vulnerable Middleware components</t>
  </si>
  <si>
    <t>PM-MHRD Middleware hardening</t>
  </si>
  <si>
    <t>PM-AWRN: Awareness</t>
  </si>
  <si>
    <t>PM-KTGT Kerberos TGT Reset</t>
  </si>
  <si>
    <t>116</t>
  </si>
  <si>
    <t>161</t>
  </si>
  <si>
    <t>113</t>
  </si>
  <si>
    <t>171</t>
  </si>
  <si>
    <t>26</t>
  </si>
  <si>
    <t>184</t>
  </si>
  <si>
    <t>210</t>
  </si>
  <si>
    <t>100</t>
  </si>
  <si>
    <t>PM-BLKI</t>
  </si>
  <si>
    <t>PM-BLKS</t>
  </si>
  <si>
    <t>PM-BLIP</t>
  </si>
  <si>
    <t>PM-RMAC</t>
  </si>
  <si>
    <t>PM-SHDN</t>
  </si>
  <si>
    <t>PM-PWCE</t>
  </si>
  <si>
    <t>PM-ESAE</t>
  </si>
  <si>
    <t>PM-WHIT</t>
  </si>
  <si>
    <t>PM-REBS</t>
  </si>
  <si>
    <t>PM-REBC</t>
  </si>
  <si>
    <t>PM-PWCC</t>
  </si>
  <si>
    <t>PM-MVUL</t>
  </si>
  <si>
    <t>PM-MHRD</t>
  </si>
  <si>
    <t>PM-AWRN</t>
  </si>
  <si>
    <t>PM-KTGT</t>
  </si>
  <si>
    <t>Site</t>
  </si>
  <si>
    <t>Subject Identifier:</t>
  </si>
  <si>
    <t>From</t>
  </si>
  <si>
    <t>Date</t>
  </si>
  <si>
    <t>Reply-to:</t>
  </si>
  <si>
    <t>Bcc:</t>
  </si>
  <si>
    <t>USA</t>
  </si>
  <si>
    <t>UK</t>
  </si>
  <si>
    <t>GERMANY</t>
  </si>
  <si>
    <t>Workpackage</t>
  </si>
  <si>
    <t>Location</t>
  </si>
  <si>
    <t>IssueReplyMail</t>
  </si>
  <si>
    <t xml:space="preserve"> &lt;tr&gt;
  &lt;td&gt;
  &lt;p&gt;PACKAGELINK&lt;/p&gt;
  &lt;/td&gt;
  &lt;td style="border-left: solid 1px"&gt;
  &lt;p&gt;PACKAGESTATUS&lt;/p&gt;
  &lt;/td&gt;
  &lt;td style="border-left: solid 1px"&gt;
  &lt;p&gt; UPDATETIME &lt;/p&gt;
  &lt;/td&gt;
  &lt;td style="border-left: solid 1px"&gt;
  &lt;p&gt;ISSUELINK&lt;/p&gt;
  &lt;/td&gt;
  &lt;td style="border-left: solid 1px"&gt;
  &lt;p&gt;ACTIONS&lt;/p&gt;
  &lt;/td&gt;
 &lt;/tr&gt;</t>
  </si>
  <si>
    <t>Manual/Reported</t>
  </si>
  <si>
    <t>Reported By</t>
  </si>
  <si>
    <t>Last read Issue:</t>
  </si>
  <si>
    <t>Solved</t>
  </si>
  <si>
    <t>Unsolved</t>
  </si>
  <si>
    <t>ISSUES</t>
  </si>
  <si>
    <t>Reported/Manual</t>
  </si>
  <si>
    <t>&lt;p&gt;Dear colleagues,&lt;/p&gt;
&lt;p&gt;Please find below the status for the location &lt;strong&gt;BUSINESSAREA&lt;/strong&gt; as of &lt;strong&gt;CURRENTDATE&lt;/strong&gt;.&lt;/p&gt; 
&lt;p&gt;Please update the information using the status links provided in the table below.&lt;br&gt;&lt;/p&gt;
&lt;table style="border: solid 1px" cellspacing=0 cellpadding=5&gt;
 &lt;tr&gt;
  &lt;th style="border-bottom:solid 1px; text-align:left;"&gt;
  &lt;p&gt;Work Packages for the location BUSINESSAREA&lt;/p&gt;
  &lt;/th&gt;
  &lt;th style="border-left: solid 1px; border-bottom:solid 1px; text-align:left;"&gt;
  &lt;p&gt;Status&lt;/p&gt;
  &lt;/th&gt;
  &lt;th style="border-left: solid 1px; border-bottom:solid 1px; text-align:left;"&gt;
  &lt;p&gt;Time&lt;/p&gt;
  &lt;/th&gt;
  &lt;th style="border-left: solid 1px; border-bottom:solid 1px; text-align:left;"&gt;
  &lt;p&gt;Report Issue&lt;/p&gt;
  &lt;/th&gt;
  &lt;th style="border-left: solid 1px; border-bottom:solid 1px; text-align:left;"&gt;
  &lt;p&gt;New Status&lt;/p&gt;
  &lt;/th&gt;
 &lt;/tr&gt;</t>
  </si>
  <si>
    <t># issues:</t>
  </si>
  <si>
    <t>&lt;Email&gt;</t>
  </si>
  <si>
    <t>&lt;Your next call date&gt;</t>
  </si>
  <si>
    <t>&lt;Your Email&gt;</t>
  </si>
  <si>
    <t>[&lt;Identifier&gt;]</t>
  </si>
  <si>
    <t>Manual</t>
  </si>
  <si>
    <t>CHINA</t>
  </si>
  <si>
    <t>040101</t>
  </si>
  <si>
    <t>040102</t>
  </si>
  <si>
    <t>040103</t>
  </si>
  <si>
    <t>040104</t>
  </si>
  <si>
    <t>040105</t>
  </si>
  <si>
    <t>040201</t>
  </si>
  <si>
    <t>040202</t>
  </si>
  <si>
    <t>040203</t>
  </si>
  <si>
    <t>040204</t>
  </si>
  <si>
    <t>040205</t>
  </si>
  <si>
    <t>040301</t>
  </si>
  <si>
    <t>040302</t>
  </si>
  <si>
    <t>040303</t>
  </si>
  <si>
    <t>040304</t>
  </si>
  <si>
    <t>040305</t>
  </si>
  <si>
    <t>040401</t>
  </si>
  <si>
    <t>040402</t>
  </si>
  <si>
    <t>040403</t>
  </si>
  <si>
    <t>040404</t>
  </si>
  <si>
    <t>040405</t>
  </si>
  <si>
    <t>040501</t>
  </si>
  <si>
    <t>040502</t>
  </si>
  <si>
    <t>040503</t>
  </si>
  <si>
    <t>040504</t>
  </si>
  <si>
    <t>040505</t>
  </si>
  <si>
    <t>040601</t>
  </si>
  <si>
    <t>040602</t>
  </si>
  <si>
    <t>040603</t>
  </si>
  <si>
    <t>040604</t>
  </si>
  <si>
    <t>040605</t>
  </si>
  <si>
    <t>040701</t>
  </si>
  <si>
    <t>040702</t>
  </si>
  <si>
    <t>040703</t>
  </si>
  <si>
    <t>040704</t>
  </si>
  <si>
    <t>040705</t>
  </si>
  <si>
    <t>040801</t>
  </si>
  <si>
    <t>040802</t>
  </si>
  <si>
    <t>040803</t>
  </si>
  <si>
    <t>040804</t>
  </si>
  <si>
    <t>040805</t>
  </si>
  <si>
    <t>040901</t>
  </si>
  <si>
    <t>040902</t>
  </si>
  <si>
    <t>040903</t>
  </si>
  <si>
    <t>040904</t>
  </si>
  <si>
    <t>040905</t>
  </si>
  <si>
    <t>041001</t>
  </si>
  <si>
    <t>041002</t>
  </si>
  <si>
    <t>041003</t>
  </si>
  <si>
    <t>041004</t>
  </si>
  <si>
    <t>041005</t>
  </si>
  <si>
    <t>041101</t>
  </si>
  <si>
    <t>041102</t>
  </si>
  <si>
    <t>041103</t>
  </si>
  <si>
    <t>041104</t>
  </si>
  <si>
    <t>041105</t>
  </si>
  <si>
    <t>041201</t>
  </si>
  <si>
    <t>041202</t>
  </si>
  <si>
    <t>041203</t>
  </si>
  <si>
    <t>041204</t>
  </si>
  <si>
    <t>041205</t>
  </si>
  <si>
    <t>041301</t>
  </si>
  <si>
    <t>041302</t>
  </si>
  <si>
    <t>041303</t>
  </si>
  <si>
    <t>041304</t>
  </si>
  <si>
    <t>041305</t>
  </si>
  <si>
    <t>041401</t>
  </si>
  <si>
    <t>041402</t>
  </si>
  <si>
    <t>041403</t>
  </si>
  <si>
    <t>041404</t>
  </si>
  <si>
    <t>041405</t>
  </si>
  <si>
    <t>041501</t>
  </si>
  <si>
    <t>041502</t>
  </si>
  <si>
    <t>041503</t>
  </si>
  <si>
    <t>041504</t>
  </si>
  <si>
    <t>041505</t>
  </si>
  <si>
    <t>041601</t>
  </si>
  <si>
    <t>041602</t>
  </si>
  <si>
    <t>041603</t>
  </si>
  <si>
    <t>041604</t>
  </si>
  <si>
    <t>041605</t>
  </si>
  <si>
    <t>RUSSIA</t>
  </si>
  <si>
    <t>050101</t>
  </si>
  <si>
    <t>050102</t>
  </si>
  <si>
    <t>050103</t>
  </si>
  <si>
    <t>050104</t>
  </si>
  <si>
    <t>050105</t>
  </si>
  <si>
    <t>050201</t>
  </si>
  <si>
    <t>050202</t>
  </si>
  <si>
    <t>050203</t>
  </si>
  <si>
    <t>050204</t>
  </si>
  <si>
    <t>050205</t>
  </si>
  <si>
    <t>050301</t>
  </si>
  <si>
    <t>050302</t>
  </si>
  <si>
    <t>050303</t>
  </si>
  <si>
    <t>050304</t>
  </si>
  <si>
    <t>050305</t>
  </si>
  <si>
    <t>050401</t>
  </si>
  <si>
    <t>050402</t>
  </si>
  <si>
    <t>050403</t>
  </si>
  <si>
    <t>050404</t>
  </si>
  <si>
    <t>050405</t>
  </si>
  <si>
    <t>050501</t>
  </si>
  <si>
    <t>050502</t>
  </si>
  <si>
    <t>050503</t>
  </si>
  <si>
    <t>050504</t>
  </si>
  <si>
    <t>050505</t>
  </si>
  <si>
    <t>050601</t>
  </si>
  <si>
    <t>050602</t>
  </si>
  <si>
    <t>050603</t>
  </si>
  <si>
    <t>050604</t>
  </si>
  <si>
    <t>050605</t>
  </si>
  <si>
    <t>050701</t>
  </si>
  <si>
    <t>050702</t>
  </si>
  <si>
    <t>050703</t>
  </si>
  <si>
    <t>050704</t>
  </si>
  <si>
    <t>050705</t>
  </si>
  <si>
    <t>050801</t>
  </si>
  <si>
    <t>050802</t>
  </si>
  <si>
    <t>050803</t>
  </si>
  <si>
    <t>050804</t>
  </si>
  <si>
    <t>050805</t>
  </si>
  <si>
    <t>050901</t>
  </si>
  <si>
    <t>050902</t>
  </si>
  <si>
    <t>050903</t>
  </si>
  <si>
    <t>050904</t>
  </si>
  <si>
    <t>050905</t>
  </si>
  <si>
    <t>051001</t>
  </si>
  <si>
    <t>051002</t>
  </si>
  <si>
    <t>051003</t>
  </si>
  <si>
    <t>051004</t>
  </si>
  <si>
    <t>051005</t>
  </si>
  <si>
    <t>051101</t>
  </si>
  <si>
    <t>051102</t>
  </si>
  <si>
    <t>051103</t>
  </si>
  <si>
    <t>051104</t>
  </si>
  <si>
    <t>051105</t>
  </si>
  <si>
    <t>051201</t>
  </si>
  <si>
    <t>051202</t>
  </si>
  <si>
    <t>051203</t>
  </si>
  <si>
    <t>051204</t>
  </si>
  <si>
    <t>051205</t>
  </si>
  <si>
    <t>051301</t>
  </si>
  <si>
    <t>051302</t>
  </si>
  <si>
    <t>051303</t>
  </si>
  <si>
    <t>051304</t>
  </si>
  <si>
    <t>051305</t>
  </si>
  <si>
    <t>051401</t>
  </si>
  <si>
    <t>051402</t>
  </si>
  <si>
    <t>051403</t>
  </si>
  <si>
    <t>051404</t>
  </si>
  <si>
    <t>051405</t>
  </si>
  <si>
    <t>051501</t>
  </si>
  <si>
    <t>051502</t>
  </si>
  <si>
    <t>051503</t>
  </si>
  <si>
    <t>051504</t>
  </si>
  <si>
    <t>051505</t>
  </si>
  <si>
    <t>051601</t>
  </si>
  <si>
    <t>051602</t>
  </si>
  <si>
    <t>051603</t>
  </si>
  <si>
    <t>051604</t>
  </si>
  <si>
    <t>051605</t>
  </si>
  <si>
    <t>&lt;/table&gt;
&lt;br&gt;
&lt;p&gt;Many thanks in advance&lt;br&gt;&lt;/p&gt;
&lt;p&gt;
&lt;strong&gt;PMO&lt;/strong&gt;&lt;br&gt;
&lt;br&gt;
Company &lt;br&gt;
T: +49-1234567&lt;/p&gt;</t>
  </si>
  <si>
    <t>Location Contacts</t>
  </si>
  <si>
    <t xml:space="preserve">Change status in </t>
  </si>
  <si>
    <t>All locations</t>
  </si>
  <si>
    <t>Last Update: 10/12/2017 12:29:15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</si>
</sst>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53" x14ac:knownFonts="1">
    <font>
      <sz val="9.5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  <scheme val="major"/>
    </font>
    <font>
      <sz val="10"/>
      <color theme="9"/>
      <name val="Arial"/>
      <family val="2"/>
      <scheme val="major"/>
    </font>
    <font>
      <sz val="10"/>
      <color rgb="FFFF0000"/>
      <name val="Arial"/>
      <family val="2"/>
      <scheme val="minor"/>
    </font>
    <font>
      <sz val="10"/>
      <color theme="2"/>
      <name val="Arial"/>
      <family val="2"/>
      <scheme val="minor"/>
    </font>
    <font>
      <sz val="10"/>
      <color theme="7"/>
      <name val="Arial"/>
      <family val="2"/>
      <scheme val="minor"/>
    </font>
    <font>
      <sz val="9.5"/>
      <color rgb="FF000000"/>
      <name val="Arial"/>
      <family val="2"/>
    </font>
    <font>
      <b/>
      <sz val="9.5"/>
      <name val="Arial"/>
      <family val="2"/>
      <scheme val="minor"/>
    </font>
    <font>
      <b/>
      <sz val="12"/>
      <name val="Arial"/>
      <family val="2"/>
      <scheme val="minor"/>
    </font>
    <font>
      <u/>
      <sz val="9.5"/>
      <color theme="10"/>
      <name val="Arial"/>
      <family val="2"/>
      <scheme val="minor"/>
    </font>
    <font>
      <b/>
      <sz val="9.5"/>
      <color theme="1"/>
      <name val="Arial"/>
      <family val="2"/>
      <scheme val="minor"/>
    </font>
    <font>
      <b/>
      <sz val="11"/>
      <name val="Arial"/>
      <family val="2"/>
      <scheme val="minor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12"/>
      <color theme="1"/>
      <name val="Arial"/>
      <family val="2"/>
      <scheme val="minor"/>
    </font>
    <font>
      <sz val="9.5"/>
      <color rgb="FFFFFFFF"/>
      <name val="Arial"/>
      <family val="2"/>
      <scheme val="minor"/>
    </font>
    <font>
      <b/>
      <sz val="20"/>
      <name val="Arial"/>
      <family val="2"/>
      <scheme val="minor"/>
    </font>
    <font>
      <sz val="9.5"/>
      <color theme="0"/>
      <name val="Arial"/>
      <family val="2"/>
      <scheme val="minor"/>
    </font>
    <font>
      <b/>
      <sz val="9.5"/>
      <name val="Arial"/>
      <family val="2"/>
      <scheme val="minor"/>
    </font>
    <font>
      <sz val="9.5"/>
      <name val="Arial"/>
      <family val="2"/>
      <scheme val="minor"/>
    </font>
    <font>
      <b/>
      <sz val="9.5"/>
      <color theme="1"/>
      <name val="Arial"/>
      <family val="2"/>
      <scheme val="minor"/>
    </font>
    <font>
      <sz val="9.5"/>
      <color theme="1"/>
      <name val="Arial"/>
      <family val="2"/>
      <scheme val="minor"/>
    </font>
    <font>
      <u/>
      <sz val="9.5"/>
      <color theme="10"/>
      <name val="Arial"/>
      <family val="2"/>
      <scheme val="minor"/>
    </font>
    <font>
      <sz val="8"/>
      <name val="Arial"/>
      <family val="2"/>
      <scheme val="minor"/>
    </font>
    <font>
      <b/>
      <sz val="16"/>
      <name val="Arial"/>
      <family val="2"/>
      <scheme val="minor"/>
    </font>
    <font>
      <sz val="9.5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9.5"/>
      <color theme="1"/>
      <name val="Arial"/>
      <family val="2"/>
      <scheme val="minor"/>
    </font>
    <font>
      <sz val="9.5"/>
      <color rgb="FFC0C0C0"/>
      <name val="Arial"/>
      <family val="2"/>
      <scheme val="minor"/>
    </font>
    <font>
      <sz val="9.5"/>
      <color rgb="FF215B87"/>
      <name val="Arial"/>
      <family val="2"/>
      <scheme val="minor"/>
    </font>
    <font>
      <sz val="9.5"/>
      <color rgb="FF66FF33"/>
      <name val="Arial"/>
      <family val="2"/>
      <scheme val="minor"/>
    </font>
    <font>
      <sz val="9.5"/>
      <color rgb="FF00B050"/>
      <name val="Arial"/>
      <family val="2"/>
      <scheme val="minor"/>
    </font>
    <font>
      <sz val="9.5"/>
      <color rgb="FFFFC000"/>
      <name val="Arial"/>
      <family val="2"/>
      <scheme val="minor"/>
    </font>
    <font>
      <sz val="9.5"/>
      <color rgb="FFFF3300"/>
      <name val="Arial"/>
      <family val="2"/>
      <scheme val="minor"/>
    </font>
    <font>
      <sz val="8"/>
      <color rgb="FFFF0000"/>
      <name val="Arial"/>
      <family val="2"/>
      <scheme val="minor"/>
    </font>
    <font>
      <sz val="9.5"/>
      <color rgb="FFFF00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name val="Arial"/>
      <family val="2"/>
      <scheme val="minor"/>
    </font>
    <font>
      <sz val="9.5"/>
      <color rgb="FF00FF00"/>
      <name val="Arial"/>
      <family val="2"/>
      <scheme val="minor"/>
    </font>
    <font>
      <b/>
      <sz val="20"/>
      <color rgb="FFFF3300"/>
      <name val="Arial"/>
      <family val="2"/>
      <scheme val="minor"/>
    </font>
    <font>
      <sz val="9.5"/>
      <color theme="1"/>
      <name val="Arial"/>
      <family val="2"/>
      <scheme val="minor"/>
    </font>
    <font>
      <sz val="18"/>
      <color theme="1"/>
      <name val="Arial"/>
      <family val="2"/>
      <scheme val="minor"/>
    </font>
    <font>
      <sz val="18"/>
      <name val="Arial"/>
      <family val="2"/>
      <scheme val="minor"/>
    </font>
    <font>
      <sz val="18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9.5"/>
      <name val="Arial"/>
      <family val="2"/>
      <scheme val="minor"/>
    </font>
    <font>
      <b/>
      <sz val="9.5"/>
      <name val="Arial"/>
      <family val="2"/>
      <scheme val="minor"/>
    </font>
    <font>
      <b/>
      <sz val="12"/>
      <name val="Arial"/>
      <family val="2"/>
      <scheme val="minor"/>
    </font>
    <font>
      <b/>
      <sz val="10"/>
      <name val="Arial"/>
      <family val="2"/>
      <scheme val="minor"/>
    </font>
    <font>
      <u/>
      <sz val="9.5"/>
      <color theme="10"/>
      <name val="Arial"/>
      <family val="2"/>
      <scheme val="minor"/>
    </font>
    <font>
      <sz val="9.5"/>
      <color rgb="FFB8D264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rgb="FFB8D264"/>
        <bgColor indexed="64"/>
      </patternFill>
    </fill>
    <fill>
      <patternFill patternType="solid">
        <fgColor rgb="FF71AB1A"/>
        <bgColor indexed="64"/>
      </patternFill>
    </fill>
    <fill>
      <patternFill patternType="solid">
        <fgColor rgb="FF002C4E"/>
        <bgColor indexed="64"/>
      </patternFill>
    </fill>
    <fill>
      <patternFill patternType="solid">
        <fgColor rgb="FF0074A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2" tint="0.59999389629810485"/>
        <bgColor indexed="64"/>
      </patternFill>
    </fill>
  </fills>
  <borders count="7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5" tint="0.39997558519241921"/>
      </bottom>
      <diagonal/>
    </border>
    <border>
      <left style="dotted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dotted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/>
      <bottom style="double">
        <color indexed="64"/>
      </bottom>
      <diagonal/>
    </border>
    <border>
      <left style="dotted">
        <color indexed="64"/>
      </left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 tint="-0.34998626667073579"/>
      </top>
      <bottom style="double">
        <color indexed="64"/>
      </bottom>
      <diagonal/>
    </border>
    <border>
      <left/>
      <right style="dotted">
        <color indexed="64"/>
      </right>
      <top style="thin">
        <color theme="0" tint="-0.34998626667073579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theme="0" tint="-0.34998626667073579"/>
      </top>
      <bottom style="double">
        <color indexed="64"/>
      </bottom>
      <diagonal/>
    </border>
    <border>
      <left style="dotted">
        <color indexed="64"/>
      </left>
      <right/>
      <top style="thin">
        <color theme="0" tint="-0.34998626667073579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theme="0" tint="-0.34998626667073579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theme="0" tint="-0.34998626667073579"/>
      </bottom>
      <diagonal/>
    </border>
    <border>
      <left style="dotted">
        <color indexed="64"/>
      </left>
      <right/>
      <top style="double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double">
        <color theme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auto="1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auto="1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9">
    <xf numFmtId="0" fontId="0" fillId="0" borderId="0"/>
    <xf numFmtId="0" fontId="6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2" applyNumberFormat="0" applyAlignment="0" applyProtection="0"/>
    <xf numFmtId="0" fontId="3" fillId="5" borderId="1" applyNumberFormat="0" applyAlignment="0" applyProtection="0"/>
    <xf numFmtId="0" fontId="1" fillId="0" borderId="0"/>
    <xf numFmtId="0" fontId="1" fillId="0" borderId="0"/>
    <xf numFmtId="0" fontId="10" fillId="0" borderId="0" applyNumberFormat="0" applyFill="0" applyBorder="0" applyAlignment="0" applyProtection="0"/>
  </cellStyleXfs>
  <cellXfs count="266">
    <xf numFmtId="0" fontId="0" fillId="0" borderId="0" xfId="0"/>
    <xf numFmtId="49" fontId="0" fillId="0" borderId="0" xfId="0" applyNumberFormat="1"/>
    <xf numFmtId="20" fontId="0" fillId="0" borderId="0" xfId="0" applyNumberFormat="1"/>
    <xf numFmtId="0" fontId="0" fillId="0" borderId="0" xfId="0"/>
    <xf numFmtId="14" fontId="0" fillId="0" borderId="0" xfId="0" applyNumberFormat="1"/>
    <xf numFmtId="0" fontId="0" fillId="7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9" fillId="0" borderId="12" xfId="0" applyFont="1" applyBorder="1"/>
    <xf numFmtId="0" fontId="8" fillId="0" borderId="0" xfId="0" applyFont="1" applyBorder="1" applyAlignment="1">
      <alignment vertical="top"/>
    </xf>
    <xf numFmtId="0" fontId="8" fillId="0" borderId="0" xfId="0" applyFont="1" applyBorder="1"/>
    <xf numFmtId="22" fontId="0" fillId="0" borderId="0" xfId="0" applyNumberFormat="1"/>
    <xf numFmtId="0" fontId="8" fillId="0" borderId="0" xfId="0" applyFont="1"/>
    <xf numFmtId="0" fontId="0" fillId="0" borderId="0" xfId="0" pivotButton="1"/>
    <xf numFmtId="0" fontId="0" fillId="0" borderId="0" xfId="0" applyNumberFormat="1"/>
    <xf numFmtId="0" fontId="0" fillId="10" borderId="0" xfId="0" applyNumberFormat="1" applyFill="1"/>
    <xf numFmtId="0" fontId="11" fillId="11" borderId="18" xfId="0" applyFont="1" applyFill="1" applyBorder="1"/>
    <xf numFmtId="0" fontId="0" fillId="10" borderId="0" xfId="0" applyFill="1"/>
    <xf numFmtId="0" fontId="0" fillId="0" borderId="0" xfId="0" applyFill="1" applyBorder="1"/>
    <xf numFmtId="0" fontId="0" fillId="0" borderId="0" xfId="0" applyNumberFormat="1" applyBorder="1"/>
    <xf numFmtId="0" fontId="8" fillId="12" borderId="0" xfId="0" applyFont="1" applyFill="1"/>
    <xf numFmtId="49" fontId="8" fillId="12" borderId="0" xfId="0" applyNumberFormat="1" applyFont="1" applyFill="1"/>
    <xf numFmtId="0" fontId="0" fillId="7" borderId="7" xfId="0" applyFill="1" applyBorder="1"/>
    <xf numFmtId="164" fontId="13" fillId="0" borderId="0" xfId="0" applyNumberFormat="1" applyFont="1"/>
    <xf numFmtId="22" fontId="13" fillId="0" borderId="0" xfId="0" applyNumberFormat="1" applyFont="1"/>
    <xf numFmtId="0" fontId="12" fillId="0" borderId="0" xfId="0" applyFont="1"/>
    <xf numFmtId="0" fontId="0" fillId="17" borderId="0" xfId="0" applyFill="1"/>
    <xf numFmtId="0" fontId="0" fillId="18" borderId="0" xfId="0" applyFill="1"/>
    <xf numFmtId="0" fontId="0" fillId="16" borderId="0" xfId="0" applyFill="1"/>
    <xf numFmtId="0" fontId="0" fillId="15" borderId="0" xfId="0" applyFill="1"/>
    <xf numFmtId="0" fontId="0" fillId="20" borderId="0" xfId="0" applyFill="1"/>
    <xf numFmtId="0" fontId="0" fillId="21" borderId="3" xfId="0" applyFill="1" applyBorder="1"/>
    <xf numFmtId="0" fontId="8" fillId="21" borderId="3" xfId="0" applyFont="1" applyFill="1" applyBorder="1"/>
    <xf numFmtId="0" fontId="8" fillId="21" borderId="3" xfId="0" applyFont="1" applyFill="1" applyBorder="1" applyAlignment="1">
      <alignment vertical="top"/>
    </xf>
    <xf numFmtId="0" fontId="14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8" fillId="0" borderId="29" xfId="0" applyFont="1" applyBorder="1"/>
    <xf numFmtId="0" fontId="8" fillId="0" borderId="30" xfId="0" applyFont="1" applyBorder="1"/>
    <xf numFmtId="0" fontId="8" fillId="0" borderId="31" xfId="0" applyFont="1" applyBorder="1"/>
    <xf numFmtId="0" fontId="0" fillId="0" borderId="32" xfId="0" applyBorder="1"/>
    <xf numFmtId="0" fontId="0" fillId="0" borderId="33" xfId="0" applyBorder="1"/>
    <xf numFmtId="0" fontId="17" fillId="0" borderId="0" xfId="0" applyFont="1"/>
    <xf numFmtId="0" fontId="11" fillId="0" borderId="0" xfId="0" applyFont="1" applyFill="1" applyBorder="1"/>
    <xf numFmtId="0" fontId="0" fillId="0" borderId="0" xfId="0" applyNumberFormat="1" applyFill="1" applyBorder="1"/>
    <xf numFmtId="0" fontId="8" fillId="0" borderId="49" xfId="0" applyFont="1" applyBorder="1"/>
    <xf numFmtId="0" fontId="16" fillId="0" borderId="50" xfId="0" applyFont="1" applyBorder="1"/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Font="1"/>
    <xf numFmtId="0" fontId="8" fillId="0" borderId="51" xfId="0" applyFont="1" applyBorder="1"/>
    <xf numFmtId="0" fontId="8" fillId="25" borderId="52" xfId="0" applyFont="1" applyFill="1" applyBorder="1" applyAlignment="1">
      <alignment horizontal="left" vertical="top"/>
    </xf>
    <xf numFmtId="0" fontId="8" fillId="25" borderId="53" xfId="0" applyFont="1" applyFill="1" applyBorder="1" applyAlignment="1">
      <alignment horizontal="left" vertical="top"/>
    </xf>
    <xf numFmtId="0" fontId="8" fillId="25" borderId="54" xfId="0" applyFont="1" applyFill="1" applyBorder="1"/>
    <xf numFmtId="0" fontId="8" fillId="25" borderId="0" xfId="0" applyFont="1" applyFill="1" applyBorder="1" applyAlignment="1">
      <alignment horizontal="left" vertical="top"/>
    </xf>
    <xf numFmtId="0" fontId="18" fillId="0" borderId="0" xfId="0" applyFont="1"/>
    <xf numFmtId="22" fontId="0" fillId="0" borderId="0" xfId="0" applyNumberFormat="1" applyBorder="1"/>
    <xf numFmtId="22" fontId="0" fillId="0" borderId="0" xfId="0" applyNumberFormat="1" applyFill="1" applyBorder="1" applyAlignment="1">
      <alignment wrapText="1"/>
    </xf>
    <xf numFmtId="22" fontId="0" fillId="0" borderId="0" xfId="0" applyNumberFormat="1" applyFill="1" applyBorder="1"/>
    <xf numFmtId="22" fontId="0" fillId="0" borderId="0" xfId="0" applyNumberFormat="1" applyBorder="1" applyAlignment="1">
      <alignment wrapText="1"/>
    </xf>
    <xf numFmtId="22" fontId="0" fillId="0" borderId="10" xfId="0" applyNumberFormat="1" applyBorder="1" applyAlignment="1">
      <alignment horizontal="left"/>
    </xf>
    <xf numFmtId="22" fontId="0" fillId="0" borderId="0" xfId="0" applyNumberFormat="1" applyBorder="1" applyAlignment="1">
      <alignment horizontal="left" wrapText="1"/>
    </xf>
    <xf numFmtId="0" fontId="0" fillId="0" borderId="59" xfId="0" applyBorder="1"/>
    <xf numFmtId="22" fontId="0" fillId="0" borderId="59" xfId="0" applyNumberFormat="1" applyBorder="1" applyAlignment="1">
      <alignment horizontal="left" wrapText="1"/>
    </xf>
    <xf numFmtId="22" fontId="0" fillId="0" borderId="59" xfId="0" applyNumberFormat="1" applyBorder="1"/>
    <xf numFmtId="0" fontId="0" fillId="0" borderId="60" xfId="0" applyBorder="1"/>
    <xf numFmtId="22" fontId="0" fillId="0" borderId="60" xfId="0" applyNumberFormat="1" applyBorder="1" applyAlignment="1">
      <alignment horizontal="left" wrapText="1"/>
    </xf>
    <xf numFmtId="22" fontId="0" fillId="0" borderId="60" xfId="0" applyNumberFormat="1" applyBorder="1"/>
    <xf numFmtId="0" fontId="0" fillId="0" borderId="61" xfId="0" applyBorder="1"/>
    <xf numFmtId="22" fontId="0" fillId="0" borderId="61" xfId="0" applyNumberFormat="1" applyBorder="1" applyAlignment="1">
      <alignment horizontal="left" wrapText="1"/>
    </xf>
    <xf numFmtId="22" fontId="0" fillId="0" borderId="61" xfId="0" applyNumberFormat="1" applyBorder="1"/>
    <xf numFmtId="0" fontId="16" fillId="0" borderId="63" xfId="0" applyFont="1" applyBorder="1"/>
    <xf numFmtId="0" fontId="0" fillId="0" borderId="64" xfId="0" applyBorder="1"/>
    <xf numFmtId="0" fontId="0" fillId="0" borderId="65" xfId="0" applyBorder="1"/>
    <xf numFmtId="49" fontId="0" fillId="0" borderId="65" xfId="0" applyNumberFormat="1" applyBorder="1"/>
    <xf numFmtId="0" fontId="0" fillId="0" borderId="66" xfId="0" applyBorder="1"/>
    <xf numFmtId="0" fontId="0" fillId="0" borderId="67" xfId="0" applyBorder="1"/>
    <xf numFmtId="0" fontId="14" fillId="0" borderId="0" xfId="0" applyNumberFormat="1" applyFont="1" applyFill="1" applyBorder="1" applyAlignment="1">
      <alignment vertical="center"/>
    </xf>
    <xf numFmtId="0" fontId="19" fillId="8" borderId="0" xfId="0" applyFont="1" applyFill="1"/>
    <xf numFmtId="49" fontId="19" fillId="8" borderId="0" xfId="0" applyNumberFormat="1" applyFont="1" applyFill="1"/>
    <xf numFmtId="0" fontId="20" fillId="0" borderId="0" xfId="0" applyFont="1"/>
    <xf numFmtId="0" fontId="21" fillId="0" borderId="34" xfId="0" applyFont="1" applyBorder="1"/>
    <xf numFmtId="49" fontId="20" fillId="0" borderId="0" xfId="0" applyNumberFormat="1" applyFont="1"/>
    <xf numFmtId="0" fontId="22" fillId="0" borderId="35" xfId="0" applyFont="1" applyBorder="1"/>
    <xf numFmtId="0" fontId="23" fillId="0" borderId="0" xfId="8" applyFont="1"/>
    <xf numFmtId="0" fontId="21" fillId="23" borderId="34" xfId="0" applyFont="1" applyFill="1" applyBorder="1"/>
    <xf numFmtId="0" fontId="22" fillId="23" borderId="35" xfId="0" applyFont="1" applyFill="1" applyBorder="1"/>
    <xf numFmtId="0" fontId="20" fillId="0" borderId="0" xfId="0" applyFont="1" applyBorder="1"/>
    <xf numFmtId="0" fontId="20" fillId="0" borderId="0" xfId="0" applyFont="1" applyFill="1" applyBorder="1"/>
    <xf numFmtId="0" fontId="20" fillId="0" borderId="0" xfId="0" applyFont="1" applyFill="1"/>
    <xf numFmtId="0" fontId="0" fillId="0" borderId="69" xfId="0" applyBorder="1"/>
    <xf numFmtId="49" fontId="0" fillId="0" borderId="69" xfId="0" applyNumberFormat="1" applyBorder="1"/>
    <xf numFmtId="0" fontId="0" fillId="0" borderId="68" xfId="0" applyBorder="1"/>
    <xf numFmtId="22" fontId="0" fillId="0" borderId="68" xfId="0" applyNumberFormat="1" applyBorder="1"/>
    <xf numFmtId="0" fontId="24" fillId="19" borderId="0" xfId="0" applyFont="1" applyFill="1" applyBorder="1"/>
    <xf numFmtId="0" fontId="24" fillId="7" borderId="0" xfId="0" applyFont="1" applyFill="1" applyBorder="1"/>
    <xf numFmtId="0" fontId="25" fillId="7" borderId="0" xfId="0" applyFont="1" applyFill="1" applyBorder="1"/>
    <xf numFmtId="0" fontId="26" fillId="7" borderId="0" xfId="0" applyFont="1" applyFill="1"/>
    <xf numFmtId="0" fontId="26" fillId="20" borderId="0" xfId="0" applyFont="1" applyFill="1"/>
    <xf numFmtId="0" fontId="26" fillId="0" borderId="0" xfId="0" applyFont="1" applyFill="1"/>
    <xf numFmtId="0" fontId="26" fillId="0" borderId="0" xfId="0" applyFont="1"/>
    <xf numFmtId="0" fontId="27" fillId="23" borderId="4" xfId="0" applyFont="1" applyFill="1" applyBorder="1" applyAlignment="1">
      <alignment horizontal="center" vertical="center"/>
    </xf>
    <xf numFmtId="0" fontId="28" fillId="23" borderId="38" xfId="0" applyFont="1" applyFill="1" applyBorder="1" applyAlignment="1">
      <alignment horizontal="left" textRotation="90"/>
    </xf>
    <xf numFmtId="0" fontId="28" fillId="23" borderId="3" xfId="0" applyFont="1" applyFill="1" applyBorder="1" applyAlignment="1">
      <alignment horizontal="left" textRotation="90"/>
    </xf>
    <xf numFmtId="0" fontId="28" fillId="24" borderId="3" xfId="0" applyFont="1" applyFill="1" applyBorder="1" applyAlignment="1">
      <alignment horizontal="left" textRotation="90"/>
    </xf>
    <xf numFmtId="0" fontId="24" fillId="7" borderId="37" xfId="0" applyFont="1" applyFill="1" applyBorder="1"/>
    <xf numFmtId="0" fontId="24" fillId="7" borderId="0" xfId="0" applyFont="1" applyFill="1"/>
    <xf numFmtId="0" fontId="25" fillId="7" borderId="0" xfId="0" applyFont="1" applyFill="1" applyBorder="1" applyAlignment="1">
      <alignment horizontal="left" vertical="center"/>
    </xf>
    <xf numFmtId="0" fontId="25" fillId="7" borderId="0" xfId="0" applyFont="1" applyFill="1" applyBorder="1" applyAlignment="1">
      <alignment vertical="center"/>
    </xf>
    <xf numFmtId="0" fontId="24" fillId="0" borderId="0" xfId="0" applyFont="1"/>
    <xf numFmtId="0" fontId="24" fillId="20" borderId="0" xfId="0" applyFont="1" applyFill="1"/>
    <xf numFmtId="0" fontId="24" fillId="0" borderId="0" xfId="0" applyFont="1" applyFill="1"/>
    <xf numFmtId="0" fontId="29" fillId="23" borderId="70" xfId="0" applyFont="1" applyFill="1" applyBorder="1" applyAlignment="1">
      <alignment vertical="center"/>
    </xf>
    <xf numFmtId="0" fontId="30" fillId="6" borderId="71" xfId="0" applyFont="1" applyFill="1" applyBorder="1" applyAlignment="1">
      <alignment shrinkToFit="1"/>
    </xf>
    <xf numFmtId="0" fontId="30" fillId="6" borderId="72" xfId="0" applyFont="1" applyFill="1" applyBorder="1" applyAlignment="1">
      <alignment shrinkToFit="1"/>
    </xf>
    <xf numFmtId="0" fontId="31" fillId="7" borderId="0" xfId="0" applyFont="1" applyFill="1" applyBorder="1" applyAlignment="1">
      <alignment shrinkToFit="1"/>
    </xf>
    <xf numFmtId="0" fontId="24" fillId="7" borderId="28" xfId="0" applyFont="1" applyFill="1" applyBorder="1"/>
    <xf numFmtId="0" fontId="29" fillId="23" borderId="73" xfId="0" applyFont="1" applyFill="1" applyBorder="1" applyAlignment="1">
      <alignment vertical="center"/>
    </xf>
    <xf numFmtId="0" fontId="30" fillId="6" borderId="74" xfId="0" applyFont="1" applyFill="1" applyBorder="1" applyAlignment="1">
      <alignment shrinkToFit="1"/>
    </xf>
    <xf numFmtId="0" fontId="30" fillId="6" borderId="75" xfId="0" applyFont="1" applyFill="1" applyBorder="1" applyAlignment="1">
      <alignment shrinkToFit="1"/>
    </xf>
    <xf numFmtId="0" fontId="32" fillId="7" borderId="0" xfId="0" applyFont="1" applyFill="1" applyBorder="1" applyAlignment="1">
      <alignment shrinkToFit="1"/>
    </xf>
    <xf numFmtId="0" fontId="26" fillId="7" borderId="0" xfId="0" applyFont="1" applyFill="1" applyBorder="1"/>
    <xf numFmtId="0" fontId="33" fillId="7" borderId="0" xfId="0" applyFont="1" applyFill="1" applyBorder="1" applyAlignment="1">
      <alignment shrinkToFit="1"/>
    </xf>
    <xf numFmtId="0" fontId="34" fillId="7" borderId="0" xfId="0" applyFont="1" applyFill="1" applyBorder="1" applyAlignment="1">
      <alignment shrinkToFit="1"/>
    </xf>
    <xf numFmtId="0" fontId="35" fillId="7" borderId="0" xfId="0" applyFont="1" applyFill="1" applyBorder="1" applyAlignment="1">
      <alignment shrinkToFit="1"/>
    </xf>
    <xf numFmtId="0" fontId="30" fillId="7" borderId="0" xfId="0" applyFont="1" applyFill="1" applyBorder="1" applyAlignment="1">
      <alignment shrinkToFit="1"/>
    </xf>
    <xf numFmtId="0" fontId="24" fillId="9" borderId="0" xfId="0" applyFont="1" applyFill="1" applyBorder="1"/>
    <xf numFmtId="0" fontId="24" fillId="7" borderId="62" xfId="0" applyFont="1" applyFill="1" applyBorder="1"/>
    <xf numFmtId="0" fontId="36" fillId="7" borderId="0" xfId="0" applyFont="1" applyFill="1" applyBorder="1"/>
    <xf numFmtId="0" fontId="37" fillId="7" borderId="0" xfId="0" applyFont="1" applyFill="1" applyBorder="1"/>
    <xf numFmtId="0" fontId="29" fillId="23" borderId="76" xfId="0" applyFont="1" applyFill="1" applyBorder="1" applyAlignment="1">
      <alignment vertical="center"/>
    </xf>
    <xf numFmtId="0" fontId="30" fillId="6" borderId="77" xfId="0" applyFont="1" applyFill="1" applyBorder="1" applyAlignment="1">
      <alignment shrinkToFit="1"/>
    </xf>
    <xf numFmtId="0" fontId="30" fillId="6" borderId="78" xfId="0" applyFont="1" applyFill="1" applyBorder="1" applyAlignment="1">
      <alignment shrinkToFit="1"/>
    </xf>
    <xf numFmtId="0" fontId="38" fillId="24" borderId="0" xfId="0" applyFont="1" applyFill="1" applyBorder="1" applyAlignment="1">
      <alignment vertical="center"/>
    </xf>
    <xf numFmtId="0" fontId="31" fillId="7" borderId="0" xfId="0" applyNumberFormat="1" applyFont="1" applyFill="1" applyBorder="1" applyAlignment="1">
      <alignment shrinkToFit="1"/>
    </xf>
    <xf numFmtId="0" fontId="39" fillId="7" borderId="0" xfId="0" applyFont="1" applyFill="1" applyBorder="1" applyAlignment="1">
      <alignment horizontal="right" vertical="center"/>
    </xf>
    <xf numFmtId="0" fontId="30" fillId="6" borderId="3" xfId="0" applyFont="1" applyFill="1" applyBorder="1" applyAlignment="1">
      <alignment shrinkToFit="1"/>
    </xf>
    <xf numFmtId="0" fontId="30" fillId="18" borderId="36" xfId="0" applyFont="1" applyFill="1" applyBorder="1" applyAlignment="1">
      <alignment shrinkToFit="1"/>
    </xf>
    <xf numFmtId="0" fontId="40" fillId="15" borderId="16" xfId="0" applyFont="1" applyFill="1" applyBorder="1" applyAlignment="1">
      <alignment shrinkToFit="1"/>
    </xf>
    <xf numFmtId="0" fontId="26" fillId="18" borderId="0" xfId="0" applyFont="1" applyFill="1"/>
    <xf numFmtId="0" fontId="39" fillId="0" borderId="13" xfId="0" applyFont="1" applyBorder="1"/>
    <xf numFmtId="0" fontId="35" fillId="16" borderId="16" xfId="0" applyFont="1" applyFill="1" applyBorder="1" applyAlignment="1">
      <alignment shrinkToFit="1"/>
    </xf>
    <xf numFmtId="0" fontId="39" fillId="0" borderId="14" xfId="0" applyFont="1" applyBorder="1"/>
    <xf numFmtId="0" fontId="40" fillId="16" borderId="17" xfId="0" applyFont="1" applyFill="1" applyBorder="1" applyAlignment="1">
      <alignment shrinkToFit="1"/>
    </xf>
    <xf numFmtId="0" fontId="24" fillId="0" borderId="14" xfId="0" applyFont="1" applyBorder="1"/>
    <xf numFmtId="0" fontId="39" fillId="7" borderId="14" xfId="0" applyFont="1" applyFill="1" applyBorder="1"/>
    <xf numFmtId="0" fontId="26" fillId="7" borderId="39" xfId="0" applyFont="1" applyFill="1" applyBorder="1"/>
    <xf numFmtId="0" fontId="26" fillId="0" borderId="15" xfId="0" applyFont="1" applyBorder="1"/>
    <xf numFmtId="0" fontId="26" fillId="0" borderId="14" xfId="0" applyFont="1" applyBorder="1"/>
    <xf numFmtId="0" fontId="26" fillId="0" borderId="0" xfId="0" applyFont="1" applyBorder="1"/>
    <xf numFmtId="0" fontId="24" fillId="0" borderId="14" xfId="0" applyFont="1" applyFill="1" applyBorder="1"/>
    <xf numFmtId="0" fontId="26" fillId="0" borderId="14" xfId="0" applyFont="1" applyFill="1" applyBorder="1"/>
    <xf numFmtId="0" fontId="26" fillId="0" borderId="15" xfId="0" applyFont="1" applyFill="1" applyBorder="1"/>
    <xf numFmtId="0" fontId="26" fillId="0" borderId="0" xfId="0" applyFont="1" applyFill="1" applyBorder="1"/>
    <xf numFmtId="0" fontId="26" fillId="7" borderId="14" xfId="0" applyFont="1" applyFill="1" applyBorder="1"/>
    <xf numFmtId="0" fontId="26" fillId="7" borderId="15" xfId="0" applyFont="1" applyFill="1" applyBorder="1"/>
    <xf numFmtId="0" fontId="26" fillId="17" borderId="0" xfId="0" applyFont="1" applyFill="1"/>
    <xf numFmtId="0" fontId="24" fillId="20" borderId="0" xfId="0" applyFont="1" applyFill="1" applyBorder="1"/>
    <xf numFmtId="0" fontId="24" fillId="15" borderId="0" xfId="0" applyFont="1" applyFill="1" applyBorder="1"/>
    <xf numFmtId="0" fontId="24" fillId="16" borderId="0" xfId="0" applyFont="1" applyFill="1" applyBorder="1"/>
    <xf numFmtId="0" fontId="26" fillId="20" borderId="0" xfId="0" applyFont="1" applyFill="1" applyBorder="1"/>
    <xf numFmtId="0" fontId="41" fillId="7" borderId="55" xfId="0" applyFont="1" applyFill="1" applyBorder="1"/>
    <xf numFmtId="49" fontId="42" fillId="7" borderId="55" xfId="0" applyNumberFormat="1" applyFont="1" applyFill="1" applyBorder="1"/>
    <xf numFmtId="0" fontId="26" fillId="7" borderId="55" xfId="0" applyFont="1" applyFill="1" applyBorder="1"/>
    <xf numFmtId="0" fontId="43" fillId="7" borderId="56" xfId="0" applyFont="1" applyFill="1" applyBorder="1" applyAlignment="1">
      <alignment horizontal="left"/>
    </xf>
    <xf numFmtId="0" fontId="43" fillId="7" borderId="56" xfId="0" applyFont="1" applyFill="1" applyBorder="1" applyAlignment="1"/>
    <xf numFmtId="0" fontId="44" fillId="7" borderId="56" xfId="0" applyFont="1" applyFill="1" applyBorder="1" applyAlignment="1">
      <alignment horizontal="left"/>
    </xf>
    <xf numFmtId="0" fontId="43" fillId="7" borderId="0" xfId="0" applyFont="1" applyFill="1" applyBorder="1" applyAlignment="1"/>
    <xf numFmtId="0" fontId="44" fillId="7" borderId="57" xfId="0" applyFont="1" applyFill="1" applyBorder="1" applyAlignment="1">
      <alignment horizontal="left"/>
    </xf>
    <xf numFmtId="0" fontId="43" fillId="7" borderId="57" xfId="0" applyFont="1" applyFill="1" applyBorder="1" applyAlignment="1"/>
    <xf numFmtId="0" fontId="37" fillId="7" borderId="57" xfId="0" applyFont="1" applyFill="1" applyBorder="1"/>
    <xf numFmtId="0" fontId="45" fillId="7" borderId="57" xfId="0" applyFont="1" applyFill="1" applyBorder="1" applyAlignment="1"/>
    <xf numFmtId="0" fontId="44" fillId="7" borderId="57" xfId="0" applyFont="1" applyFill="1" applyBorder="1" applyAlignment="1">
      <alignment wrapText="1"/>
    </xf>
    <xf numFmtId="0" fontId="42" fillId="7" borderId="0" xfId="0" applyFont="1" applyFill="1" applyBorder="1"/>
    <xf numFmtId="0" fontId="44" fillId="7" borderId="58" xfId="0" applyFont="1" applyFill="1" applyBorder="1" applyAlignment="1">
      <alignment horizontal="left"/>
    </xf>
    <xf numFmtId="0" fontId="43" fillId="7" borderId="58" xfId="0" applyFont="1" applyFill="1" applyBorder="1" applyAlignment="1"/>
    <xf numFmtId="0" fontId="44" fillId="7" borderId="58" xfId="0" applyFont="1" applyFill="1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43" fillId="7" borderId="56" xfId="0" applyFont="1" applyFill="1" applyBorder="1" applyAlignment="1">
      <alignment horizontal="center" wrapText="1"/>
    </xf>
    <xf numFmtId="0" fontId="44" fillId="7" borderId="57" xfId="0" applyFont="1" applyFill="1" applyBorder="1" applyAlignment="1">
      <alignment horizontal="center" wrapText="1"/>
    </xf>
    <xf numFmtId="0" fontId="46" fillId="20" borderId="0" xfId="0" applyFont="1" applyFill="1"/>
    <xf numFmtId="0" fontId="47" fillId="20" borderId="0" xfId="0" applyFont="1" applyFill="1"/>
    <xf numFmtId="0" fontId="47" fillId="20" borderId="0" xfId="0" applyFont="1" applyFill="1" applyAlignment="1">
      <alignment shrinkToFit="1"/>
    </xf>
    <xf numFmtId="0" fontId="47" fillId="0" borderId="0" xfId="0" applyFont="1"/>
    <xf numFmtId="0" fontId="47" fillId="7" borderId="4" xfId="0" applyFont="1" applyFill="1" applyBorder="1"/>
    <xf numFmtId="0" fontId="47" fillId="7" borderId="5" xfId="0" applyFont="1" applyFill="1" applyBorder="1"/>
    <xf numFmtId="0" fontId="47" fillId="7" borderId="5" xfId="0" applyFont="1" applyFill="1" applyBorder="1" applyAlignment="1">
      <alignment shrinkToFit="1"/>
    </xf>
    <xf numFmtId="0" fontId="47" fillId="7" borderId="6" xfId="0" applyFont="1" applyFill="1" applyBorder="1"/>
    <xf numFmtId="0" fontId="47" fillId="7" borderId="0" xfId="0" applyFont="1" applyFill="1"/>
    <xf numFmtId="0" fontId="48" fillId="22" borderId="0" xfId="0" applyFont="1" applyFill="1"/>
    <xf numFmtId="49" fontId="47" fillId="20" borderId="0" xfId="0" applyNumberFormat="1" applyFont="1" applyFill="1"/>
    <xf numFmtId="0" fontId="47" fillId="7" borderId="7" xfId="0" applyFont="1" applyFill="1" applyBorder="1"/>
    <xf numFmtId="0" fontId="49" fillId="14" borderId="0" xfId="0" applyFont="1" applyFill="1" applyBorder="1"/>
    <xf numFmtId="0" fontId="47" fillId="14" borderId="0" xfId="0" applyFont="1" applyFill="1" applyBorder="1"/>
    <xf numFmtId="0" fontId="47" fillId="14" borderId="0" xfId="0" applyFont="1" applyFill="1" applyBorder="1" applyAlignment="1">
      <alignment shrinkToFit="1"/>
    </xf>
    <xf numFmtId="0" fontId="47" fillId="7" borderId="8" xfId="0" applyFont="1" applyFill="1" applyBorder="1"/>
    <xf numFmtId="0" fontId="50" fillId="14" borderId="0" xfId="0" applyFont="1" applyFill="1" applyBorder="1"/>
    <xf numFmtId="0" fontId="48" fillId="13" borderId="0" xfId="0" applyFont="1" applyFill="1" applyBorder="1"/>
    <xf numFmtId="49" fontId="51" fillId="0" borderId="48" xfId="8" applyNumberFormat="1" applyFont="1" applyFill="1" applyBorder="1"/>
    <xf numFmtId="49" fontId="47" fillId="0" borderId="47" xfId="0" applyNumberFormat="1" applyFont="1" applyBorder="1"/>
    <xf numFmtId="0" fontId="47" fillId="13" borderId="0" xfId="0" applyFont="1" applyFill="1" applyBorder="1"/>
    <xf numFmtId="0" fontId="48" fillId="13" borderId="0" xfId="0" applyFont="1" applyFill="1" applyBorder="1" applyAlignment="1">
      <alignment horizontal="left"/>
    </xf>
    <xf numFmtId="49" fontId="47" fillId="0" borderId="24" xfId="0" applyNumberFormat="1" applyFont="1" applyBorder="1" applyAlignment="1">
      <alignment shrinkToFit="1"/>
    </xf>
    <xf numFmtId="49" fontId="47" fillId="0" borderId="25" xfId="0" applyNumberFormat="1" applyFont="1" applyBorder="1"/>
    <xf numFmtId="49" fontId="47" fillId="0" borderId="26" xfId="0" applyNumberFormat="1" applyFont="1" applyBorder="1"/>
    <xf numFmtId="0" fontId="47" fillId="13" borderId="0" xfId="0" applyFont="1" applyFill="1"/>
    <xf numFmtId="49" fontId="47" fillId="0" borderId="21" xfId="0" applyNumberFormat="1" applyFont="1" applyBorder="1" applyAlignment="1">
      <alignment shrinkToFit="1"/>
    </xf>
    <xf numFmtId="49" fontId="47" fillId="0" borderId="0" xfId="0" applyNumberFormat="1" applyFont="1" applyBorder="1"/>
    <xf numFmtId="0" fontId="47" fillId="7" borderId="0" xfId="0" applyFont="1" applyFill="1" applyBorder="1"/>
    <xf numFmtId="49" fontId="51" fillId="0" borderId="21" xfId="8" applyNumberFormat="1" applyFont="1" applyBorder="1" applyAlignment="1">
      <alignment shrinkToFit="1"/>
    </xf>
    <xf numFmtId="49" fontId="51" fillId="0" borderId="24" xfId="8" applyNumberFormat="1" applyFont="1" applyFill="1" applyBorder="1"/>
    <xf numFmtId="49" fontId="51" fillId="0" borderId="25" xfId="8" applyNumberFormat="1" applyFont="1" applyFill="1" applyBorder="1"/>
    <xf numFmtId="49" fontId="47" fillId="0" borderId="25" xfId="0" applyNumberFormat="1" applyFont="1" applyFill="1" applyBorder="1"/>
    <xf numFmtId="49" fontId="51" fillId="0" borderId="26" xfId="8" applyNumberFormat="1" applyFont="1" applyBorder="1"/>
    <xf numFmtId="0" fontId="48" fillId="7" borderId="0" xfId="0" applyFont="1" applyFill="1" applyBorder="1"/>
    <xf numFmtId="0" fontId="47" fillId="7" borderId="0" xfId="0" applyFont="1" applyFill="1" applyBorder="1" applyAlignment="1">
      <alignment shrinkToFit="1"/>
    </xf>
    <xf numFmtId="0" fontId="47" fillId="7" borderId="9" xfId="0" applyFont="1" applyFill="1" applyBorder="1"/>
    <xf numFmtId="0" fontId="48" fillId="7" borderId="10" xfId="0" applyFont="1" applyFill="1" applyBorder="1"/>
    <xf numFmtId="0" fontId="47" fillId="7" borderId="10" xfId="0" applyFont="1" applyFill="1" applyBorder="1" applyAlignment="1">
      <alignment shrinkToFit="1"/>
    </xf>
    <xf numFmtId="0" fontId="47" fillId="7" borderId="10" xfId="0" applyFont="1" applyFill="1" applyBorder="1"/>
    <xf numFmtId="0" fontId="47" fillId="7" borderId="11" xfId="0" applyFont="1" applyFill="1" applyBorder="1"/>
    <xf numFmtId="0" fontId="47" fillId="15" borderId="0" xfId="0" applyFont="1" applyFill="1"/>
    <xf numFmtId="0" fontId="47" fillId="16" borderId="0" xfId="0" applyFont="1" applyFill="1"/>
    <xf numFmtId="0" fontId="47" fillId="18" borderId="0" xfId="0" applyFont="1" applyFill="1"/>
    <xf numFmtId="0" fontId="47" fillId="17" borderId="0" xfId="0" applyFont="1" applyFill="1"/>
    <xf numFmtId="49" fontId="47" fillId="20" borderId="0" xfId="0" applyNumberFormat="1" applyFont="1" applyFill="1" applyBorder="1"/>
    <xf numFmtId="0" fontId="47" fillId="20" borderId="0" xfId="0" applyFont="1" applyFill="1" applyBorder="1"/>
    <xf numFmtId="0" fontId="48" fillId="20" borderId="0" xfId="0" applyFont="1" applyFill="1" applyBorder="1"/>
    <xf numFmtId="0" fontId="48" fillId="7" borderId="5" xfId="0" applyFont="1" applyFill="1" applyBorder="1"/>
    <xf numFmtId="0" fontId="48" fillId="14" borderId="0" xfId="0" applyFont="1" applyFill="1" applyBorder="1"/>
    <xf numFmtId="0" fontId="48" fillId="13" borderId="0" xfId="0" applyFont="1" applyFill="1" applyBorder="1"/>
    <xf numFmtId="0" fontId="48" fillId="0" borderId="0" xfId="0" applyFont="1" applyBorder="1" applyAlignment="1">
      <alignment horizontal="right"/>
    </xf>
    <xf numFmtId="0" fontId="51" fillId="0" borderId="0" xfId="8" applyFont="1" applyBorder="1" applyAlignment="1">
      <alignment shrinkToFit="1"/>
    </xf>
    <xf numFmtId="0" fontId="51" fillId="0" borderId="23" xfId="8" applyFont="1" applyFill="1" applyBorder="1"/>
    <xf numFmtId="0" fontId="47" fillId="0" borderId="23" xfId="0" applyFont="1" applyFill="1" applyBorder="1"/>
    <xf numFmtId="49" fontId="51" fillId="0" borderId="19" xfId="8" applyNumberFormat="1" applyFont="1" applyBorder="1"/>
    <xf numFmtId="0" fontId="48" fillId="13" borderId="20" xfId="0" applyFont="1" applyFill="1" applyBorder="1"/>
    <xf numFmtId="0" fontId="48" fillId="0" borderId="40" xfId="0" applyFont="1" applyBorder="1" applyAlignment="1">
      <alignment horizontal="right"/>
    </xf>
    <xf numFmtId="0" fontId="51" fillId="0" borderId="41" xfId="8" applyFont="1" applyBorder="1" applyAlignment="1">
      <alignment shrinkToFit="1"/>
    </xf>
    <xf numFmtId="49" fontId="47" fillId="0" borderId="42" xfId="0" applyNumberFormat="1" applyFont="1" applyBorder="1"/>
    <xf numFmtId="49" fontId="51" fillId="0" borderId="42" xfId="8" applyNumberFormat="1" applyFont="1" applyBorder="1"/>
    <xf numFmtId="49" fontId="51" fillId="0" borderId="43" xfId="8" applyNumberFormat="1" applyFont="1" applyBorder="1"/>
    <xf numFmtId="0" fontId="48" fillId="13" borderId="22" xfId="0" applyFont="1" applyFill="1" applyBorder="1"/>
    <xf numFmtId="0" fontId="48" fillId="0" borderId="44" xfId="0" applyFont="1" applyBorder="1" applyAlignment="1">
      <alignment horizontal="right"/>
    </xf>
    <xf numFmtId="0" fontId="51" fillId="0" borderId="44" xfId="8" applyFont="1" applyBorder="1" applyAlignment="1">
      <alignment shrinkToFit="1"/>
    </xf>
    <xf numFmtId="0" fontId="47" fillId="0" borderId="45" xfId="0" applyFont="1" applyFill="1" applyBorder="1"/>
    <xf numFmtId="49" fontId="47" fillId="0" borderId="45" xfId="0" applyNumberFormat="1" applyFont="1" applyBorder="1"/>
    <xf numFmtId="49" fontId="47" fillId="0" borderId="46" xfId="0" applyNumberFormat="1" applyFont="1" applyBorder="1"/>
    <xf numFmtId="0" fontId="48" fillId="0" borderId="20" xfId="0" applyFont="1" applyBorder="1" applyAlignment="1">
      <alignment horizontal="right"/>
    </xf>
    <xf numFmtId="0" fontId="47" fillId="0" borderId="20" xfId="0" applyFont="1" applyBorder="1" applyAlignment="1">
      <alignment shrinkToFit="1"/>
    </xf>
    <xf numFmtId="0" fontId="47" fillId="0" borderId="44" xfId="0" applyFont="1" applyBorder="1" applyAlignment="1">
      <alignment shrinkToFit="1"/>
    </xf>
    <xf numFmtId="0" fontId="47" fillId="0" borderId="20" xfId="0" applyFont="1" applyBorder="1"/>
    <xf numFmtId="49" fontId="47" fillId="0" borderId="23" xfId="0" applyNumberFormat="1" applyFont="1" applyBorder="1"/>
    <xf numFmtId="49" fontId="47" fillId="0" borderId="27" xfId="0" applyNumberFormat="1" applyFont="1" applyBorder="1"/>
    <xf numFmtId="49" fontId="47" fillId="0" borderId="19" xfId="0" applyNumberFormat="1" applyFont="1" applyBorder="1"/>
    <xf numFmtId="0" fontId="52" fillId="20" borderId="0" xfId="0" applyFont="1" applyFill="1"/>
    <xf numFmtId="0" fontId="47" fillId="20" borderId="0" xfId="0" applyFont="1" applyFill="1" applyBorder="1" applyAlignment="1">
      <alignment shrinkToFit="1"/>
    </xf>
    <xf numFmtId="0" fontId="51" fillId="20" borderId="0" xfId="8" applyFont="1" applyFill="1" applyBorder="1" applyAlignment="1">
      <alignment shrinkToFit="1"/>
    </xf>
    <xf numFmtId="0" fontId="47" fillId="0" borderId="0" xfId="0" applyFont="1" applyAlignment="1">
      <alignment shrinkToFit="1"/>
    </xf>
  </cellXfs>
  <cellStyles count="9">
    <cellStyle name="Bad" xfId="2" builtinId="27" customBuiltin="1"/>
    <cellStyle name="Calculation" xfId="5" builtinId="22" customBuiltin="1"/>
    <cellStyle name="Good" xfId="1" builtinId="26" customBuiltin="1"/>
    <cellStyle name="Hyperlink" xfId="8" builtinId="8"/>
    <cellStyle name="Neutral" xfId="3" builtinId="28" customBuiltin="1"/>
    <cellStyle name="Normal" xfId="0" builtinId="0" customBuiltin="1"/>
    <cellStyle name="Normal 2" xfId="6"/>
    <cellStyle name="Output" xfId="4" builtinId="21" customBuiltin="1"/>
    <cellStyle name="Standard 2" xfId="7"/>
  </cellStyles>
  <dxfs count="35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164" formatCode="[$-409]m/d/yy\ h:mm\ AM/PM;@"/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164" formatCode="[$-409]m/d/yy\ h:mm\ AM/P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</dxf>
    <dxf>
      <font>
        <b/>
        <i val="0"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fill>
        <patternFill patternType="solid">
          <fgColor indexed="64"/>
          <bgColor rgb="FF66FF33"/>
        </patternFill>
      </fill>
      <alignment horizontal="general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fill>
        <patternFill patternType="solid">
          <fgColor indexed="64"/>
          <bgColor rgb="FF66FF33"/>
        </patternFill>
      </fill>
      <alignment horizontal="general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fill>
        <patternFill patternType="solid">
          <fgColor indexed="64"/>
          <bgColor rgb="FF66FF33"/>
        </patternFill>
      </fill>
      <alignment horizontal="general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fill>
        <patternFill patternType="solid">
          <fgColor indexed="64"/>
          <bgColor rgb="FF66FF33"/>
        </patternFill>
      </fill>
      <alignment horizontal="general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.5"/>
        <color rgb="FFFF0000"/>
        <name val="Arial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rgb="FF00B050"/>
        <name val="Arial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textRotation="0" wrapText="0" indent="0" justifyLastLine="0" shrinkToFit="1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fill>
        <patternFill patternType="solid">
          <fgColor indexed="64"/>
          <bgColor rgb="FF66FF33"/>
        </patternFill>
      </fill>
      <alignment horizontal="general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auto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.5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Arial"/>
        <family val="2"/>
        <scheme val="minor"/>
      </font>
      <fill>
        <patternFill patternType="solid">
          <fgColor indexed="64"/>
          <bgColor rgb="FF66FF33"/>
        </patternFill>
      </fill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73B1DD"/>
      <rgbColor rgb="00FFFFFF"/>
      <rgbColor rgb="002274AC"/>
      <rgbColor rgb="008C5A28"/>
      <rgbColor rgb="00FFFFFF"/>
      <rgbColor rgb="00730019"/>
      <rgbColor rgb="00003C65"/>
      <rgbColor rgb="0033434C"/>
      <rgbColor rgb="0000B1EB"/>
      <rgbColor rgb="00FAAA00"/>
      <rgbColor rgb="00FFFFFF"/>
      <rgbColor rgb="00E4002C"/>
      <rgbColor rgb="00FFFFFF"/>
      <rgbColor rgb="00CFD7D9"/>
      <rgbColor rgb="00FFFFFF"/>
      <rgbColor rgb="00FFFFFF"/>
      <rgbColor rgb="00003C64"/>
      <rgbColor rgb="0073B1DD"/>
      <rgbColor rgb="008994A0"/>
      <rgbColor rgb="00CFD7D9"/>
      <rgbColor rgb="00336384"/>
      <rgbColor rgb="0099B1C1"/>
      <rgbColor rgb="005C6970"/>
      <rgbColor rgb="0033434C"/>
      <rgbColor rgb="00B9C900"/>
      <rgbColor rgb="0051AE30"/>
      <rgbColor rgb="00005D4D"/>
      <rgbColor rgb="0000413C"/>
      <rgbColor rgb="00FFD100"/>
      <rgbColor rgb="00FAAA00"/>
      <rgbColor rgb="00FF871F"/>
      <rgbColor rgb="008C5A28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8994A0"/>
      <rgbColor rgb="00C82D20"/>
      <rgbColor rgb="0000413C"/>
      <rgbColor rgb="00005D4D"/>
      <rgbColor rgb="0051AE30"/>
      <rgbColor rgb="00FFFFFF"/>
      <rgbColor rgb="00FFFFFF"/>
      <rgbColor rgb="00EAEEED"/>
      <rgbColor rgb="00FF871F"/>
      <rgbColor rgb="00FFD100"/>
      <rgbColor rgb="00EA4F44"/>
      <rgbColor rgb="00B9C900"/>
      <rgbColor rgb="00FFFFFF"/>
      <rgbColor rgb="00FFFFFF"/>
      <rgbColor rgb="00FFFFFF"/>
    </indexedColors>
    <mruColors>
      <color rgb="FF0074A1"/>
      <color rgb="FFB8D264"/>
      <color rgb="FF71AB1A"/>
      <color rgb="FFFF3300"/>
      <color rgb="FF002C4E"/>
      <color rgb="FF66FF33"/>
      <color rgb="FF323232"/>
      <color rgb="FF808080"/>
      <color rgb="FFFFFF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[20171011_DCSO_Remediation_Tracking_Tool_v2.2 - Copy3.xlsm]Pivot Tables!WP Status Table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Progress Per</a:t>
            </a:r>
            <a:r>
              <a:rPr lang="en-US" sz="1600" b="1" baseline="0">
                <a:solidFill>
                  <a:sysClr val="windowText" lastClr="000000"/>
                </a:solidFill>
              </a:rPr>
              <a:t> Package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899840316822529"/>
          <c:y val="6.23071115254169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solidFill>
              <a:schemeClr val="tx1">
                <a:lumMod val="60000"/>
                <a:lumOff val="40000"/>
              </a:schemeClr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</c:pivotFmt>
      <c:pivotFmt>
        <c:idx val="2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3">
              <a:lumMod val="75000"/>
            </a:schemeClr>
          </a:solidFill>
          <a:ln>
            <a:solidFill>
              <a:schemeClr val="tx1">
                <a:lumMod val="60000"/>
                <a:lumOff val="40000"/>
              </a:schemeClr>
            </a:solidFill>
          </a:ln>
          <a:effectLst/>
        </c:spPr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</c:pivotFmt>
      <c:pivotFmt>
        <c:idx val="28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rgbClr val="FF0000"/>
          </a:solidFill>
          <a:ln>
            <a:noFill/>
          </a:ln>
          <a:effectLst/>
        </c:spPr>
      </c:pivotFmt>
      <c:pivotFmt>
        <c:idx val="31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</c:pivotFmt>
      <c:pivotFmt>
        <c:idx val="39"/>
      </c:pivotFmt>
      <c:pivotFmt>
        <c:idx val="40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2"/>
      </c:pivotFmt>
      <c:pivotFmt>
        <c:idx val="4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4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'Pivot Tables'!$C$5:$C$6</c:f>
              <c:strCache>
                <c:ptCount val="1"/>
                <c:pt idx="0">
                  <c:v>evidence provided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Tables'!$C$7:$C$23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D-4144-B8B9-8BBE0DCF212E}"/>
            </c:ext>
          </c:extLst>
        </c:ser>
        <c:ser>
          <c:idx val="1"/>
          <c:order val="1"/>
          <c:tx>
            <c:strRef>
              <c:f>'Pivot Tables'!$D$5:$D$6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Tables'!$D$7:$D$23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6D-4144-B8B9-8BBE0DCF212E}"/>
            </c:ext>
          </c:extLst>
        </c:ser>
        <c:ser>
          <c:idx val="2"/>
          <c:order val="2"/>
          <c:tx>
            <c:strRef>
              <c:f>'Pivot Tables'!$E$5:$E$6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B8D264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Tables'!$E$7:$E$23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6D-4144-B8B9-8BBE0DCF212E}"/>
            </c:ext>
          </c:extLst>
        </c:ser>
        <c:ser>
          <c:idx val="3"/>
          <c:order val="3"/>
          <c:tx>
            <c:strRef>
              <c:f>'Pivot Tables'!$F$5:$F$6</c:f>
              <c:strCache>
                <c:ptCount val="1"/>
                <c:pt idx="0">
                  <c:v>released</c:v>
                </c:pt>
              </c:strCache>
            </c:strRef>
          </c:tx>
          <c:spPr>
            <a:solidFill>
              <a:srgbClr val="0074A1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Tables'!$F$7:$F$23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6D-4144-B8B9-8BBE0DCF212E}"/>
            </c:ext>
          </c:extLst>
        </c:ser>
        <c:ser>
          <c:idx val="4"/>
          <c:order val="4"/>
          <c:tx>
            <c:strRef>
              <c:f>'Pivot Tables'!$G$5:$G$6</c:f>
              <c:strCache>
                <c:ptCount val="1"/>
                <c:pt idx="0">
                  <c:v>to be started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Tables'!$G$7:$G$23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6D-4144-B8B9-8BBE0DCF2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41357800"/>
        <c:axId val="341360424"/>
      </c:barChart>
      <c:catAx>
        <c:axId val="341357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60424"/>
        <c:crosses val="autoZero"/>
        <c:auto val="1"/>
        <c:lblAlgn val="ctr"/>
        <c:lblOffset val="100"/>
        <c:noMultiLvlLbl val="0"/>
      </c:catAx>
      <c:valAx>
        <c:axId val="34136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57800"/>
        <c:crosses val="autoZero"/>
        <c:crossBetween val="between"/>
        <c:majorUnit val="0.2"/>
      </c:valAx>
      <c:dTable>
        <c:showHorzBorder val="1"/>
        <c:showVertBorder val="1"/>
        <c:showOutline val="0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Overall Progress</a:t>
            </a:r>
          </a:p>
        </c:rich>
      </c:tx>
      <c:layout>
        <c:manualLayout>
          <c:xMode val="edge"/>
          <c:yMode val="edge"/>
          <c:x val="6.5575032465928634E-2"/>
          <c:y val="3.573143340517887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483142280713312"/>
          <c:y val="0.16756487192740982"/>
          <c:w val="0.75336225155948044"/>
          <c:h val="0.73262191694707079"/>
        </c:manualLayout>
      </c:layout>
      <c:doughnutChart>
        <c:varyColors val="1"/>
        <c:ser>
          <c:idx val="18"/>
          <c:order val="17"/>
          <c:tx>
            <c:strRef>
              <c:f>'Pivot Tables'!$B$23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</c:spPr>
          <c:dPt>
            <c:idx val="0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99-4912-B78F-7B17DC0068A3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99-4912-B78F-7B17DC0068A3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99-4912-B78F-7B17DC0068A3}"/>
              </c:ext>
            </c:extLst>
          </c:dPt>
          <c:dPt>
            <c:idx val="3"/>
            <c:bubble3D val="0"/>
            <c:spPr>
              <a:solidFill>
                <a:srgbClr val="0074A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99-4912-B78F-7B17DC0068A3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E99-4912-B78F-7B17DC0068A3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E99-4912-B78F-7B17DC0068A3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Tables'!$C$32:$J$32</c15:sqref>
                  </c15:fullRef>
                </c:ext>
              </c:extLst>
              <c:f>('Pivot Tables'!$C$32:$G$32,'Pivot Tables'!$I$32:$J$32)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Tables'!$C$23:$H$23</c15:sqref>
                  </c15:fullRef>
                </c:ext>
              </c:extLst>
              <c:f>'Pivot Tables'!$C$23:$G$23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99-4912-B78F-7B17DC006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Tables'!$B$33</c15:sqref>
                        </c15:formulaRef>
                      </c:ext>
                    </c:extLst>
                    <c:strCache>
                      <c:ptCount val="1"/>
                      <c:pt idx="0">
                        <c:v>PM-BLKI Block Internet Connection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E99-4912-B78F-7B17DC0068A3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Tables'!$C$33:$J$33</c15:sqref>
                        </c15:fullRef>
                        <c15:formulaRef>
                          <c15:sqref>('Pivot Tables'!$C$33:$G$33,'Pivot Tables'!$I$33:$J$33)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'Pivot Tables'!$H$33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1D-AE99-4912-B78F-7B17DC0068A3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Tables'!$B$34</c15:sqref>
                        </c15:formulaRef>
                      </c:ext>
                    </c:extLst>
                    <c:strCache>
                      <c:ptCount val="1"/>
                      <c:pt idx="0">
                        <c:v>PM-BLKS Block System-To-System Connection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B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Tables'!$C$34:$J$34</c15:sqref>
                        </c15:fullRef>
                        <c15:formulaRef>
                          <c15:sqref>('Pivot Tables'!$C$34:$G$34,'Pivot Tables'!$I$34:$J$34)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Tables'!$H$34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C-AE99-4912-B78F-7B17DC0068A3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Tables'!$B$35</c15:sqref>
                        </c15:formulaRef>
                      </c:ext>
                    </c:extLst>
                    <c:strCache>
                      <c:ptCount val="1"/>
                      <c:pt idx="0">
                        <c:v>PM-BLIP IP Blacklisting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2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4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6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A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Tables'!$C$35:$J$35</c15:sqref>
                        </c15:fullRef>
                        <c15:formulaRef>
                          <c15:sqref>('Pivot Tables'!$C$35:$G$35,'Pivot Tables'!$I$35:$J$35)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Tables'!$H$35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B-AE99-4912-B78F-7B17DC0068A3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Tables'!$B$36</c15:sqref>
                        </c15:formulaRef>
                      </c:ext>
                    </c:extLst>
                    <c:strCache>
                      <c:ptCount val="1"/>
                      <c:pt idx="0">
                        <c:v>PM-RMAC Replace RAT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9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Tables'!$C$36:$J$36</c15:sqref>
                        </c15:fullRef>
                        <c15:formulaRef>
                          <c15:sqref>('Pivot Tables'!$C$36:$G$36,'Pivot Tables'!$I$36:$J$36)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Tables'!$H$36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4A-AE99-4912-B78F-7B17DC0068A3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Tables'!$B$37</c15:sqref>
                        </c15:formulaRef>
                      </c:ext>
                    </c:extLst>
                    <c:strCache>
                      <c:ptCount val="1"/>
                      <c:pt idx="0">
                        <c:v>PM-SHDN Sinkhole Domain Names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8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Tables'!$C$37:$J$37</c15:sqref>
                        </c15:fullRef>
                        <c15:formulaRef>
                          <c15:sqref>('Pivot Tables'!$C$37:$G$37,'Pivot Tables'!$I$37:$J$37)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Tables'!$H$37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59-AE99-4912-B78F-7B17DC0068A3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Tables'!$B$38</c15:sqref>
                        </c15:formulaRef>
                      </c:ext>
                    </c:extLst>
                    <c:strCache>
                      <c:ptCount val="1"/>
                      <c:pt idx="0">
                        <c:v>PM-PWCE Enterprise Password Change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7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Tables'!$C$38:$J$38</c15:sqref>
                        </c15:fullRef>
                        <c15:formulaRef>
                          <c15:sqref>('Pivot Tables'!$C$38:$G$38,'Pivot Tables'!$I$38:$J$38)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Tables'!$H$38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68-AE99-4912-B78F-7B17DC0068A3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Tables'!$B$39</c15:sqref>
                        </c15:formulaRef>
                      </c:ext>
                    </c:extLst>
                    <c:strCache>
                      <c:ptCount val="1"/>
                      <c:pt idx="0">
                        <c:v>PM-ESAE Implement ESAE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E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0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2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6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Tables'!$C$39:$J$39</c15:sqref>
                        </c15:fullRef>
                        <c15:formulaRef>
                          <c15:sqref>('Pivot Tables'!$C$39:$G$39,'Pivot Tables'!$I$39:$J$39)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Tables'!$H$39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77-AE99-4912-B78F-7B17DC0068A3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Tables'!$B$40</c15:sqref>
                        </c15:formulaRef>
                      </c:ext>
                    </c:extLst>
                    <c:strCache>
                      <c:ptCount val="1"/>
                      <c:pt idx="0">
                        <c:v>PM-WHIT Application Whitelisting on DCs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9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B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D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F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1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5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Tables'!$C$40:$J$40</c15:sqref>
                        </c15:fullRef>
                        <c15:formulaRef>
                          <c15:sqref>('Pivot Tables'!$C$40:$G$40,'Pivot Tables'!$I$40:$J$40)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86-AE99-4912-B78F-7B17DC0068A3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Tables'!$B$41</c15:sqref>
                        </c15:formulaRef>
                      </c:ext>
                    </c:extLst>
                    <c:strCache>
                      <c:ptCount val="1"/>
                      <c:pt idx="0">
                        <c:v>PM-CMPS Identify Compromised Systems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8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A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C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E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4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Tables'!$C$41:$J$41</c15:sqref>
                        </c15:fullRef>
                        <c15:formulaRef>
                          <c15:sqref>('Pivot Tables'!$C$41:$G$41,'Pivot Tables'!$I$41:$J$41)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Tables'!$H$41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95-AE99-4912-B78F-7B17DC0068A3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Tables'!$B$42</c15:sqref>
                        </c15:formulaRef>
                      </c:ext>
                    </c:extLst>
                    <c:strCache>
                      <c:ptCount val="1"/>
                      <c:pt idx="0">
                        <c:v>PM-REBS Rebuild Servers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7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9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3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Tables'!$C$42:$J$42</c15:sqref>
                        </c15:fullRef>
                        <c15:formulaRef>
                          <c15:sqref>('Pivot Tables'!$C$42:$G$42,'Pivot Tables'!$I$42:$J$42)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A4-AE99-4912-B78F-7B17DC0068A3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Tables'!$B$43</c15:sqref>
                        </c15:formulaRef>
                      </c:ext>
                    </c:extLst>
                    <c:strCache>
                      <c:ptCount val="1"/>
                      <c:pt idx="0">
                        <c:v>PM-REBC Rebuild Clients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6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8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2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Tables'!$C$43:$J$43</c15:sqref>
                        </c15:fullRef>
                        <c15:formulaRef>
                          <c15:sqref>('Pivot Tables'!$C$43:$G$43,'Pivot Tables'!$I$43:$J$43)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Tables'!$H$43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B3-AE99-4912-B78F-7B17DC0068A3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Tables'!$B$44</c15:sqref>
                        </c15:formulaRef>
                      </c:ext>
                    </c:extLst>
                    <c:strCache>
                      <c:ptCount val="1"/>
                      <c:pt idx="0">
                        <c:v>PM-PWCC Password Change for Privileged Local Accounts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5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B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D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Tables'!$C$44:$J$44</c15:sqref>
                        </c15:fullRef>
                        <c15:formulaRef>
                          <c15:sqref>('Pivot Tables'!$C$44:$G$44,'Pivot Tables'!$I$44:$J$44)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Tables'!$H$44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C2-AE99-4912-B78F-7B17DC0068A3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Tables'!$B$45</c15:sqref>
                        </c15:formulaRef>
                      </c:ext>
                    </c:extLst>
                    <c:strCache>
                      <c:ptCount val="1"/>
                      <c:pt idx="0">
                        <c:v>PM-MVUL Scan for vulnerable Middleware components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6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8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A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C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0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Tables'!$C$45:$J$45</c15:sqref>
                        </c15:fullRef>
                        <c15:formulaRef>
                          <c15:sqref>('Pivot Tables'!$C$45:$G$45,'Pivot Tables'!$I$45:$J$45)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Tables'!$H$45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D1-AE99-4912-B78F-7B17DC0068A3}"/>
                  </c:ext>
                </c:extLst>
              </c15:ser>
            </c15:filteredPieSeries>
            <c15:filteredPi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Tables'!$B$46</c15:sqref>
                        </c15:formulaRef>
                      </c:ext>
                    </c:extLst>
                    <c:strCache>
                      <c:ptCount val="1"/>
                      <c:pt idx="0">
                        <c:v>PM-MHRD Middleware hardening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3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5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9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B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F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Tables'!$C$46:$J$46</c15:sqref>
                        </c15:fullRef>
                        <c15:formulaRef>
                          <c15:sqref>('Pivot Tables'!$C$46:$G$46,'Pivot Tables'!$I$46:$J$46)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Tables'!$H$46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E0-AE99-4912-B78F-7B17DC0068A3}"/>
                  </c:ext>
                </c:extLst>
              </c15:ser>
            </c15:filteredPieSeries>
            <c15:filteredPieSeries>
              <c15:ser>
                <c:idx val="16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Tables'!$B$49</c15:sqref>
                        </c15:formulaRef>
                      </c:ext>
                    </c:extLst>
                    <c:strCache>
                      <c:ptCount val="1"/>
                      <c:pt idx="0">
                        <c:v>Grand 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2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4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6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8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A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E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Tables'!$C$49:$J$49</c15:sqref>
                        </c15:fullRef>
                        <c15:formulaRef>
                          <c15:sqref>('Pivot Tables'!$C$49:$G$49,'Pivot Tables'!$I$49:$J$49)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80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Tables'!$H$49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EF-AE99-4912-B78F-7B17DC0068A3}"/>
                  </c:ext>
                </c:extLst>
              </c15:ser>
            </c15:filteredPieSeries>
            <c15:filteredPie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Tables'!$B$47</c15:sqref>
                        </c15:formulaRef>
                      </c:ext>
                    </c:extLst>
                    <c:strCache>
                      <c:ptCount val="1"/>
                      <c:pt idx="0">
                        <c:v>PM-AWRN: Awareness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1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3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5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7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9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D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Tables'!$C$47:$J$47</c15:sqref>
                        </c15:fullRef>
                        <c15:formulaRef>
                          <c15:sqref>('Pivot Tables'!$C$47:$G$47,'Pivot Tables'!$I$47:$J$47)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Tables'!$H$47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FE-AE99-4912-B78F-7B17DC0068A3}"/>
                  </c:ext>
                </c:extLst>
              </c15:ser>
            </c15:filteredPieSeries>
            <c15:filteredPie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Tables'!$B$48</c15:sqref>
                        </c15:formulaRef>
                      </c:ext>
                    </c:extLst>
                    <c:strCache>
                      <c:ptCount val="1"/>
                      <c:pt idx="0">
                        <c:v>PM-KTGT Kerberos TGT Reset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100-AE99-4912-B78F-7B17DC0068A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102-AE99-4912-B78F-7B17DC0068A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104-AE99-4912-B78F-7B17DC0068A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106-AE99-4912-B78F-7B17DC0068A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108-AE99-4912-B78F-7B17DC0068A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C-AE99-4912-B78F-7B17DC0068A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Tables'!$C$48:$J$48</c15:sqref>
                        </c15:fullRef>
                        <c15:formulaRef>
                          <c15:sqref>('Pivot Tables'!$C$48:$G$48,'Pivot Tables'!$I$48:$J$48)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Tables'!$H$48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10D-AE99-4912-B78F-7B17DC0068A3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9050" cap="flat" cmpd="sng" algn="ctr">
      <a:noFill/>
      <a:prstDash val="dash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[20171011_DCSO_Remediation_Tracking_Tool_v2.2 - Copy3.xlsm]Pivot Tables!PivotTable9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Progress Per Site</a:t>
            </a:r>
          </a:p>
        </c:rich>
      </c:tx>
      <c:layout>
        <c:manualLayout>
          <c:xMode val="edge"/>
          <c:yMode val="edge"/>
          <c:x val="0.21480897982368419"/>
          <c:y val="2.2581801700206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086038851703491"/>
          <c:y val="0.12148499308182004"/>
          <c:w val="0.84821066428052938"/>
          <c:h val="0.7726880748602077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'Pivot Tables'!$C$58:$C$59</c:f>
              <c:strCache>
                <c:ptCount val="1"/>
                <c:pt idx="0">
                  <c:v>evidence provided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Tables'!$C$60:$C$65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4-4AE6-99A9-35C028A4B67C}"/>
            </c:ext>
          </c:extLst>
        </c:ser>
        <c:ser>
          <c:idx val="1"/>
          <c:order val="1"/>
          <c:tx>
            <c:strRef>
              <c:f>'Pivot Tables'!$D$58:$D$59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Tables'!$D$60:$D$65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74-4AE6-99A9-35C028A4B67C}"/>
            </c:ext>
          </c:extLst>
        </c:ser>
        <c:ser>
          <c:idx val="2"/>
          <c:order val="2"/>
          <c:tx>
            <c:strRef>
              <c:f>'Pivot Tables'!$E$58:$E$59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B8D264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Tables'!$E$60:$E$65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74-4AE6-99A9-35C028A4B67C}"/>
            </c:ext>
          </c:extLst>
        </c:ser>
        <c:ser>
          <c:idx val="3"/>
          <c:order val="3"/>
          <c:tx>
            <c:strRef>
              <c:f>'Pivot Tables'!$F$58:$F$59</c:f>
              <c:strCache>
                <c:ptCount val="1"/>
                <c:pt idx="0">
                  <c:v>released</c:v>
                </c:pt>
              </c:strCache>
            </c:strRef>
          </c:tx>
          <c:spPr>
            <a:solidFill>
              <a:srgbClr val="0074A1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Tables'!$F$60:$F$65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74-4AE6-99A9-35C028A4B67C}"/>
            </c:ext>
          </c:extLst>
        </c:ser>
        <c:ser>
          <c:idx val="4"/>
          <c:order val="4"/>
          <c:tx>
            <c:strRef>
              <c:f>'Pivot Tables'!$G$58:$G$59</c:f>
              <c:strCache>
                <c:ptCount val="1"/>
                <c:pt idx="0">
                  <c:v>to be started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Tables'!$G$60:$G$65</c:f>
              <c:numCache>
                <c:formatCode>General</c:formatCode>
                <c:ptCount val="5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74-4AE6-99A9-35C028A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8549168"/>
        <c:axId val="728545560"/>
      </c:barChart>
      <c:catAx>
        <c:axId val="728549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45560"/>
        <c:crosses val="autoZero"/>
        <c:auto val="1"/>
        <c:lblAlgn val="ctr"/>
        <c:lblOffset val="100"/>
        <c:noMultiLvlLbl val="0"/>
      </c:catAx>
      <c:valAx>
        <c:axId val="72854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4916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GERMANY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'Pivot Tables'!$B$69</c:f>
              <c:strCache>
                <c:ptCount val="1"/>
                <c:pt idx="0">
                  <c:v>GERMANY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DD-4A9A-9FB1-C1C04326C135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DD-4A9A-9FB1-C1C04326C135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DDD-4A9A-9FB1-C1C04326C135}"/>
              </c:ext>
            </c:extLst>
          </c:dPt>
          <c:dPt>
            <c:idx val="3"/>
            <c:bubble3D val="0"/>
            <c:spPr>
              <a:solidFill>
                <a:srgbClr val="0074A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DDD-4A9A-9FB1-C1C04326C135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DDD-4A9A-9FB1-C1C04326C1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Tables'!$C$68:$J$68</c15:sqref>
                  </c15:fullRef>
                </c:ext>
              </c:extLst>
              <c:f>'Pivot Tables'!$C$68:$G$68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Tables'!$C$69:$H$69</c15:sqref>
                  </c15:fullRef>
                </c:ext>
              </c:extLst>
              <c:f>'Pivot Tables'!$C$69:$G$69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'Pivot Tables'!$H$69</c15:sqref>
                  <c15:spPr xmlns:c15="http://schemas.microsoft.com/office/drawing/2012/chart">
                    <a:solidFill>
                      <a:schemeClr val="bg1">
                        <a:lumMod val="65000"/>
                      </a:schemeClr>
                    </a:solidFill>
                    <a:ln w="19050">
                      <a:noFill/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1DDD-4A9A-9FB1-C1C04326C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'Pivot Tables'!$B$70</c15:sqref>
                        </c15:formulaRef>
                      </c:ext>
                    </c:extLst>
                    <c:strCache>
                      <c:ptCount val="1"/>
                      <c:pt idx="0">
                        <c:v>UK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1DDD-4A9A-9FB1-C1C04326C13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1DDD-4A9A-9FB1-C1C04326C13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1DDD-4A9A-9FB1-C1C04326C13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1DDD-4A9A-9FB1-C1C04326C13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1DDD-4A9A-9FB1-C1C04326C135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Tables'!$C$70:$J$70</c15:sqref>
                        </c15:fullRef>
                        <c15:formulaRef>
                          <c15:sqref>'Pivot Tables'!$C$70:$G$70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'Pivot Tables'!$H$70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Tables'!$I$70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1D-1DDD-4A9A-9FB1-C1C04326C135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Tables'!$B$71</c15:sqref>
                        </c15:formulaRef>
                      </c:ext>
                    </c:extLst>
                    <c:strCache>
                      <c:ptCount val="1"/>
                      <c:pt idx="0">
                        <c:v>USA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1DDD-4A9A-9FB1-C1C04326C13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1DDD-4A9A-9FB1-C1C04326C13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1DDD-4A9A-9FB1-C1C04326C13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1DDD-4A9A-9FB1-C1C04326C13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1DDD-4A9A-9FB1-C1C04326C13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Tables'!$C$71:$J$71</c15:sqref>
                        </c15:fullRef>
                        <c15:formulaRef>
                          <c15:sqref>'Pivot Tables'!$C$71:$G$71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Tables'!$H$71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Tables'!$I$71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C-1DDD-4A9A-9FB1-C1C04326C135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Tables'!$B$72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1DDD-4A9A-9FB1-C1C04326C13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1DDD-4A9A-9FB1-C1C04326C13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2-1DDD-4A9A-9FB1-C1C04326C13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4-1DDD-4A9A-9FB1-C1C04326C13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6-1DDD-4A9A-9FB1-C1C04326C13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Tables'!$C$72:$J$72</c15:sqref>
                        </c15:fullRef>
                        <c15:formulaRef>
                          <c15:sqref>'Pivot Tables'!$C$72:$G$72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Tables'!$I$72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B-1DDD-4A9A-9FB1-C1C04326C135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'Pivot Tables'!$B$70</c:f>
              <c:strCache>
                <c:ptCount val="1"/>
                <c:pt idx="0">
                  <c:v>UK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627-42D8-A05C-E5D6B5E7A17B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627-42D8-A05C-E5D6B5E7A17B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627-42D8-A05C-E5D6B5E7A17B}"/>
              </c:ext>
            </c:extLst>
          </c:dPt>
          <c:dPt>
            <c:idx val="3"/>
            <c:bubble3D val="0"/>
            <c:spPr>
              <a:solidFill>
                <a:srgbClr val="0074A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4627-42D8-A05C-E5D6B5E7A17B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4627-42D8-A05C-E5D6B5E7A1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Tables'!$C$68:$J$68</c15:sqref>
                  </c15:fullRef>
                </c:ext>
              </c:extLst>
              <c:f>'Pivot Tables'!$C$68:$G$68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Tables'!$C$70:$H$70</c15:sqref>
                  </c15:fullRef>
                </c:ext>
              </c:extLst>
              <c:f>'Pivot Tables'!$C$70:$G$70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categoryFilterExceptions>
                <c15:categoryFilterException>
                  <c15:sqref>'Pivot Tables'!$H$70</c15:sqref>
                  <c15:spPr xmlns:c15="http://schemas.microsoft.com/office/drawing/2012/chart">
                    <a:solidFill>
                      <a:schemeClr val="bg1">
                        <a:lumMod val="65000"/>
                      </a:schemeClr>
                    </a:solidFill>
                    <a:ln w="19050">
                      <a:noFill/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D-4627-42D8-A05C-E5D6B5E7A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Tables'!$B$69</c15:sqref>
                        </c15:formulaRef>
                      </c:ext>
                    </c:extLst>
                    <c:strCache>
                      <c:ptCount val="1"/>
                      <c:pt idx="0">
                        <c:v>GERMANY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4627-42D8-A05C-E5D6B5E7A17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4627-42D8-A05C-E5D6B5E7A17B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00B050"/>
                    </a:solidFill>
                    <a:ln w="19050"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4627-42D8-A05C-E5D6B5E7A17B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B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4627-42D8-A05C-E5D6B5E7A17B}"/>
                    </c:ext>
                  </c:extLst>
                </c:dPt>
                <c:dPt>
                  <c:idx val="4"/>
                  <c:bubble3D val="0"/>
                  <c:spPr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4627-42D8-A05C-E5D6B5E7A17B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Tables'!$C$69:$J$69</c15:sqref>
                        </c15:fullRef>
                        <c15:formulaRef>
                          <c15:sqref>'Pivot Tables'!$C$69:$G$69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'Pivot Tables'!$H$69</c15:sqref>
                        <c15:spPr xmlns:c15="http://schemas.microsoft.com/office/drawing/2012/chart">
                          <a:solidFill>
                            <a:schemeClr val="accent3">
                              <a:lumMod val="7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Tables'!$I$69</c15:sqref>
                        <c15:spPr xmlns:c15="http://schemas.microsoft.com/office/drawing/2012/chart">
                          <a:solidFill>
                            <a:schemeClr val="bg1">
                              <a:lumMod val="6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E-4627-42D8-A05C-E5D6B5E7A17B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Tables'!$B$71</c15:sqref>
                        </c15:formulaRef>
                      </c:ext>
                    </c:extLst>
                    <c:strCache>
                      <c:ptCount val="1"/>
                      <c:pt idx="0">
                        <c:v>USA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4627-42D8-A05C-E5D6B5E7A17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4627-42D8-A05C-E5D6B5E7A17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4627-42D8-A05C-E5D6B5E7A17B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4627-42D8-A05C-E5D6B5E7A17B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4627-42D8-A05C-E5D6B5E7A17B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Tables'!$C$71:$J$71</c15:sqref>
                        </c15:fullRef>
                        <c15:formulaRef>
                          <c15:sqref>'Pivot Tables'!$C$71:$G$71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Tables'!$H$71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Tables'!$I$71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C-4627-42D8-A05C-E5D6B5E7A17B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Tables'!$B$72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4627-42D8-A05C-E5D6B5E7A17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4627-42D8-A05C-E5D6B5E7A17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2-4627-42D8-A05C-E5D6B5E7A17B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4-4627-42D8-A05C-E5D6B5E7A17B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6-4627-42D8-A05C-E5D6B5E7A17B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Tables'!$C$72:$J$72</c15:sqref>
                        </c15:fullRef>
                        <c15:formulaRef>
                          <c15:sqref>'Pivot Tables'!$C$72:$G$72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Tables'!$I$72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B-4627-42D8-A05C-E5D6B5E7A17B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2"/>
          <c:order val="2"/>
          <c:tx>
            <c:strRef>
              <c:f>'Pivot Tables'!$B$71</c:f>
              <c:strCache>
                <c:ptCount val="1"/>
                <c:pt idx="0">
                  <c:v>USA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BAC-4989-9712-AFEAFF66CE53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BAC-4989-9712-AFEAFF66CE53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BAC-4989-9712-AFEAFF66CE53}"/>
              </c:ext>
            </c:extLst>
          </c:dPt>
          <c:dPt>
            <c:idx val="3"/>
            <c:bubble3D val="0"/>
            <c:spPr>
              <a:solidFill>
                <a:srgbClr val="0074A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BAC-4989-9712-AFEAFF66CE53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BAC-4989-9712-AFEAFF66CE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Tables'!$C$68:$J$68</c15:sqref>
                  </c15:fullRef>
                </c:ext>
              </c:extLst>
              <c:f>'Pivot Tables'!$C$68:$G$68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Tables'!$C$71:$H$71</c15:sqref>
                  </c15:fullRef>
                </c:ext>
              </c:extLst>
              <c:f>'Pivot Tables'!$C$71:$G$71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categoryFilterExceptions>
                <c15:categoryFilterException>
                  <c15:sqref>'Pivot Tables'!$H$71</c15:sqref>
                  <c15:spPr xmlns:c15="http://schemas.microsoft.com/office/drawing/2012/chart">
                    <a:solidFill>
                      <a:schemeClr val="bg1">
                        <a:lumMod val="65000"/>
                      </a:schemeClr>
                    </a:solidFill>
                    <a:ln w="19050">
                      <a:noFill/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2C-ABAC-4989-9712-AFEAFF66C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Tables'!$B$69</c15:sqref>
                        </c15:formulaRef>
                      </c:ext>
                    </c:extLst>
                    <c:strCache>
                      <c:ptCount val="1"/>
                      <c:pt idx="0">
                        <c:v>GERMANY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ABAC-4989-9712-AFEAFF66CE5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ABAC-4989-9712-AFEAFF66CE53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00B050"/>
                    </a:solidFill>
                    <a:ln w="19050"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ABAC-4989-9712-AFEAFF66CE53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B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ABAC-4989-9712-AFEAFF66CE53}"/>
                    </c:ext>
                  </c:extLst>
                </c:dPt>
                <c:dPt>
                  <c:idx val="4"/>
                  <c:bubble3D val="0"/>
                  <c:spPr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ABAC-4989-9712-AFEAFF66CE53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Tables'!$C$69:$J$69</c15:sqref>
                        </c15:fullRef>
                        <c15:formulaRef>
                          <c15:sqref>'Pivot Tables'!$C$69:$G$69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'Pivot Tables'!$H$69</c15:sqref>
                        <c15:spPr xmlns:c15="http://schemas.microsoft.com/office/drawing/2012/chart">
                          <a:solidFill>
                            <a:schemeClr val="accent3">
                              <a:lumMod val="7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Tables'!$I$69</c15:sqref>
                        <c15:spPr xmlns:c15="http://schemas.microsoft.com/office/drawing/2012/chart">
                          <a:solidFill>
                            <a:schemeClr val="bg1">
                              <a:lumMod val="6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E-ABAC-4989-9712-AFEAFF66CE53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Tables'!$B$70</c15:sqref>
                        </c15:formulaRef>
                      </c:ext>
                    </c:extLst>
                    <c:strCache>
                      <c:ptCount val="1"/>
                      <c:pt idx="0">
                        <c:v>UK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ABAC-4989-9712-AFEAFF66CE5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ABAC-4989-9712-AFEAFF66CE5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4-ABAC-4989-9712-AFEAFF66CE5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6-ABAC-4989-9712-AFEAFF66CE5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8-ABAC-4989-9712-AFEAFF66CE5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Tables'!$C$70:$J$70</c15:sqref>
                        </c15:fullRef>
                        <c15:formulaRef>
                          <c15:sqref>'Pivot Tables'!$C$70:$G$70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Tables'!$I$70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1D-ABAC-4989-9712-AFEAFF66CE53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Tables'!$B$72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ABAC-4989-9712-AFEAFF66CE5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ABAC-4989-9712-AFEAFF66CE5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2-ABAC-4989-9712-AFEAFF66CE5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4-ABAC-4989-9712-AFEAFF66CE5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6-ABAC-4989-9712-AFEAFF66CE5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Tables'!$C$72:$J$72</c15:sqref>
                        </c15:fullRef>
                        <c15:formulaRef>
                          <c15:sqref>'Pivot Tables'!$C$72:$G$72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Tables'!$I$72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B-ABAC-4989-9712-AFEAFF66CE53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BAC-4989-9712-AFEAFF66CE5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BAC-4989-9712-AFEAFF66CE5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BAC-4989-9712-AFEAFF66CE5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BAC-4989-9712-AFEAFF66CE5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BAC-4989-9712-AFEAFF66CE5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Tables'!$B$73:$C$73</c15:sqref>
                        </c15:fullRef>
                        <c15:formulaRef>
                          <c15:sqref>'Pivot Tables'!$B$73:$C$73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C-4989-9712-AFEAFF66CE53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ABAC-4989-9712-AFEAFF66CE5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ABAC-4989-9712-AFEAFF66CE5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ABAC-4989-9712-AFEAFF66CE5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ABAC-4989-9712-AFEAFF66CE5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ABAC-4989-9712-AFEAFF66CE53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Tables'!$B$74:$C$74</c15:sqref>
                        </c15:fullRef>
                        <c15:formulaRef>
                          <c15:sqref>'Pivot Tables'!$B$74:$C$74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C-4989-9712-AFEAFF66CE53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3"/>
          <c:order val="3"/>
          <c:tx>
            <c:strRef>
              <c:f>'Pivot Tables'!$B$72</c:f>
              <c:strCache>
                <c:ptCount val="1"/>
                <c:pt idx="0">
                  <c:v>CHINA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2-070D-4D15-BEE0-ADDEB192648A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4-070D-4D15-BEE0-ADDEB192648A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6-070D-4D15-BEE0-ADDEB192648A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8-070D-4D15-BEE0-ADDEB192648A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A-070D-4D15-BEE0-ADDEB19264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Tables'!$C$68:$J$68</c15:sqref>
                  </c15:fullRef>
                </c:ext>
              </c:extLst>
              <c:f>'Pivot Tables'!$C$68:$G$68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  <c:pt idx="5">
                  <c:v>Grand 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Tables'!$C$72:$G$72</c15:sqref>
                  </c15:fullRef>
                </c:ext>
              </c:extLst>
              <c:f>'Pivot Tables'!$C$72:$G$72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B-070D-4D15-BEE0-ADDEB1926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Tables'!$B$69</c15:sqref>
                        </c15:formulaRef>
                      </c:ext>
                    </c:extLst>
                    <c:strCache>
                      <c:ptCount val="1"/>
                      <c:pt idx="0">
                        <c:v>GERMANY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C-070D-4D15-BEE0-ADDEB192648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070D-4D15-BEE0-ADDEB192648A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00B050"/>
                    </a:solidFill>
                    <a:ln w="19050"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070D-4D15-BEE0-ADDEB192648A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B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070D-4D15-BEE0-ADDEB192648A}"/>
                    </c:ext>
                  </c:extLst>
                </c:dPt>
                <c:dPt>
                  <c:idx val="4"/>
                  <c:bubble3D val="0"/>
                  <c:spPr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070D-4D15-BEE0-ADDEB192648A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Tables'!$C$69:$J$69</c15:sqref>
                        </c15:fullRef>
                        <c15:formulaRef>
                          <c15:sqref>'Pivot Tables'!$C$69:$G$69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'Pivot Tables'!$H$69</c15:sqref>
                        <c15:spPr xmlns:c15="http://schemas.microsoft.com/office/drawing/2012/chart">
                          <a:solidFill>
                            <a:schemeClr val="accent3">
                              <a:lumMod val="7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Tables'!$I$69</c15:sqref>
                        <c15:spPr xmlns:c15="http://schemas.microsoft.com/office/drawing/2012/chart">
                          <a:solidFill>
                            <a:schemeClr val="bg1">
                              <a:lumMod val="6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15-070D-4D15-BEE0-ADDEB192648A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Tables'!$B$70</c15:sqref>
                        </c15:formulaRef>
                      </c:ext>
                    </c:extLst>
                    <c:strCache>
                      <c:ptCount val="1"/>
                      <c:pt idx="0">
                        <c:v>UK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070D-4D15-BEE0-ADDEB192648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070D-4D15-BEE0-ADDEB192648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070D-4D15-BEE0-ADDEB192648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070D-4D15-BEE0-ADDEB192648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070D-4D15-BEE0-ADDEB192648A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Tables'!$C$70:$J$70</c15:sqref>
                        </c15:fullRef>
                        <c15:formulaRef>
                          <c15:sqref>'Pivot Tables'!$C$70:$G$70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Tables'!$I$70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0-070D-4D15-BEE0-ADDEB192648A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Tables'!$B$71</c15:sqref>
                        </c15:formulaRef>
                      </c:ext>
                    </c:extLst>
                    <c:strCache>
                      <c:ptCount val="1"/>
                      <c:pt idx="0">
                        <c:v>USA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  <a:ln>
                    <a:noFill/>
                  </a:ln>
                </c:spPr>
                <c:dPt>
                  <c:idx val="0"/>
                  <c:bubble3D val="0"/>
                  <c:spPr>
                    <a:solidFill>
                      <a:srgbClr val="71AB1A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070D-4D15-BEE0-ADDEB192648A}"/>
                    </c:ext>
                  </c:extLst>
                </c:dPt>
                <c:dPt>
                  <c:idx val="1"/>
                  <c:bubble3D val="0"/>
                  <c:spPr>
                    <a:solidFill>
                      <a:srgbClr val="71AB1A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070D-4D15-BEE0-ADDEB192648A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B8D264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070D-4D15-BEE0-ADDEB192648A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74A1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070D-4D15-BEE0-ADDEB192648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bg1">
                        <a:lumMod val="65000"/>
                      </a:schemeClr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070D-4D15-BEE0-ADDEB192648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Tables'!$C$71:$H$71</c15:sqref>
                        </c15:fullRef>
                        <c15:formulaRef>
                          <c15:sqref>'Pivot Tables'!$C$71:$G$71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Tables'!$H$71</c15:sqref>
                        <c15:spPr xmlns:c15="http://schemas.microsoft.com/office/drawing/2012/chart">
                          <a:solidFill>
                            <a:schemeClr val="bg1">
                              <a:lumMod val="65000"/>
                            </a:schemeClr>
                          </a:solidFill>
                          <a:ln w="19050">
                            <a:noFill/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A-070D-4D15-BEE0-ADDEB192648A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070D-4D15-BEE0-ADDEB192648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070D-4D15-BEE0-ADDEB192648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070D-4D15-BEE0-ADDEB192648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070D-4D15-BEE0-ADDEB192648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070D-4D15-BEE0-ADDEB192648A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Tables'!$B$73:$C$73</c15:sqref>
                        </c15:fullRef>
                        <c15:formulaRef>
                          <c15:sqref>'Pivot Tables'!$B$73:$C$73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0D-4D15-BEE0-ADDEB192648A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070D-4D15-BEE0-ADDEB192648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070D-4D15-BEE0-ADDEB192648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070D-4D15-BEE0-ADDEB192648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070D-4D15-BEE0-ADDEB192648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070D-4D15-BEE0-ADDEB192648A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Tables'!$B$74:$C$74</c15:sqref>
                        </c15:fullRef>
                        <c15:formulaRef>
                          <c15:sqref>'Pivot Tables'!$B$74:$C$74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0D-4D15-BEE0-ADDEB192648A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4"/>
          <c:order val="4"/>
          <c:tx>
            <c:strRef>
              <c:f>'Pivot Tables'!$B$73</c:f>
              <c:strCache>
                <c:ptCount val="1"/>
                <c:pt idx="0">
                  <c:v>RUSSIA</c:v>
                </c:pt>
              </c:strCache>
            </c:strRef>
          </c:tx>
          <c:dPt>
            <c:idx val="0"/>
            <c:bubble3D val="0"/>
            <c:spPr>
              <a:solidFill>
                <a:srgbClr val="71AB1A"/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D-F926-44BA-85F5-791D50AE13B7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2F-F926-44BA-85F5-791D50AE13B7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solidFill>
                  <a:schemeClr val="lt1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31-F926-44BA-85F5-791D50AE13B7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33-F926-44BA-85F5-791D50AE13B7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35-F926-44BA-85F5-791D50AE13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Tables'!$C$68:$J$68</c15:sqref>
                  </c15:fullRef>
                </c:ext>
              </c:extLst>
              <c:f>'Pivot Tables'!$C$68:$G$68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Tables'!$C$73:$H$73</c15:sqref>
                  </c15:fullRef>
                </c:ext>
              </c:extLst>
              <c:f>'Pivot Tables'!$C$73:$G$73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36-F926-44BA-85F5-791D50AE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Tables'!$B$69</c15:sqref>
                        </c15:formulaRef>
                      </c:ext>
                    </c:extLst>
                    <c:strCache>
                      <c:ptCount val="1"/>
                      <c:pt idx="0">
                        <c:v>GERMANY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C-F926-44BA-85F5-791D50AE13B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F926-44BA-85F5-791D50AE13B7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00B050"/>
                    </a:solidFill>
                    <a:ln w="19050"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F926-44BA-85F5-791D50AE13B7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B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F926-44BA-85F5-791D50AE13B7}"/>
                    </c:ext>
                  </c:extLst>
                </c:dPt>
                <c:dPt>
                  <c:idx val="4"/>
                  <c:bubble3D val="0"/>
                  <c:spPr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F926-44BA-85F5-791D50AE13B7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Tables'!$C$69:$J$69</c15:sqref>
                        </c15:fullRef>
                        <c15:formulaRef>
                          <c15:sqref>'Pivot Tables'!$C$69:$G$69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'Pivot Tables'!$H$69</c15:sqref>
                        <c15:spPr xmlns:c15="http://schemas.microsoft.com/office/drawing/2012/chart">
                          <a:solidFill>
                            <a:schemeClr val="accent3">
                              <a:lumMod val="7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Tables'!$I$69</c15:sqref>
                        <c15:spPr xmlns:c15="http://schemas.microsoft.com/office/drawing/2012/chart">
                          <a:solidFill>
                            <a:schemeClr val="bg1">
                              <a:lumMod val="65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15-F926-44BA-85F5-791D50AE13B7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Tables'!$B$70</c15:sqref>
                        </c15:formulaRef>
                      </c:ext>
                    </c:extLst>
                    <c:strCache>
                      <c:ptCount val="1"/>
                      <c:pt idx="0">
                        <c:v>UK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F926-44BA-85F5-791D50AE13B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F926-44BA-85F5-791D50AE13B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F926-44BA-85F5-791D50AE13B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926-44BA-85F5-791D50AE13B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926-44BA-85F5-791D50AE13B7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Tables'!$C$70:$J$70</c15:sqref>
                        </c15:fullRef>
                        <c15:formulaRef>
                          <c15:sqref>'Pivot Tables'!$C$70:$G$70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Tables'!$I$70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0-F926-44BA-85F5-791D50AE13B7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Tables'!$B$71</c15:sqref>
                        </c15:formulaRef>
                      </c:ext>
                    </c:extLst>
                    <c:strCache>
                      <c:ptCount val="1"/>
                      <c:pt idx="0">
                        <c:v>USA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  <a:ln>
                    <a:noFill/>
                  </a:ln>
                </c:spPr>
                <c:dPt>
                  <c:idx val="0"/>
                  <c:bubble3D val="0"/>
                  <c:spPr>
                    <a:solidFill>
                      <a:srgbClr val="71AB1A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F926-44BA-85F5-791D50AE13B7}"/>
                    </c:ext>
                  </c:extLst>
                </c:dPt>
                <c:dPt>
                  <c:idx val="1"/>
                  <c:bubble3D val="0"/>
                  <c:spPr>
                    <a:solidFill>
                      <a:srgbClr val="71AB1A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F926-44BA-85F5-791D50AE13B7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B8D264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F926-44BA-85F5-791D50AE13B7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74A1"/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F926-44BA-85F5-791D50AE13B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bg1">
                        <a:lumMod val="65000"/>
                      </a:schemeClr>
                    </a:solidFill>
                    <a:ln w="19050"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F926-44BA-85F5-791D50AE13B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Tables'!$C$71:$H$71</c15:sqref>
                        </c15:fullRef>
                        <c15:formulaRef>
                          <c15:sqref>'Pivot Tables'!$C$71:$G$71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Tables'!$H$71</c15:sqref>
                        <c15:spPr xmlns:c15="http://schemas.microsoft.com/office/drawing/2012/chart">
                          <a:solidFill>
                            <a:schemeClr val="bg1">
                              <a:lumMod val="65000"/>
                            </a:schemeClr>
                          </a:solidFill>
                          <a:ln w="19050">
                            <a:noFill/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A-F926-44BA-85F5-791D50AE13B7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Tables'!$B$72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F926-44BA-85F5-791D50AE13B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F926-44BA-85F5-791D50AE13B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F926-44BA-85F5-791D50AE13B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F926-44BA-85F5-791D50AE13B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F926-44BA-85F5-791D50AE13B7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Tables'!$C$72:$J$72</c15:sqref>
                        </c15:fullRef>
                        <c15:formulaRef>
                          <c15:sqref>'Pivot Tables'!$C$72:$G$72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Tables'!$H$72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'Pivot Tables'!$I$72</c15:sqref>
                        <c15:spPr xmlns:c15="http://schemas.microsoft.com/office/drawing/2012/chart">
                          <a:solidFill>
                            <a:schemeClr val="accent1">
                              <a:lumMod val="60000"/>
                            </a:schemeClr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B-F926-44BA-85F5-791D50AE13B7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F926-44BA-85F5-791D50AE13B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F926-44BA-85F5-791D50AE13B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F926-44BA-85F5-791D50AE13B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F926-44BA-85F5-791D50AE13B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F926-44BA-85F5-791D50AE13B7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Tables'!$C$68:$G$68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Tables'!$B$74:$C$74</c15:sqref>
                        </c15:fullRef>
                        <c15:formulaRef>
                          <c15:sqref>'Pivot Tables'!$B$74:$C$74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926-44BA-85F5-791D50AE13B7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Tables'!$B$69</c15:sqref>
                        </c15:formulaRef>
                      </c:ext>
                    </c:extLst>
                    <c:strCache>
                      <c:ptCount val="1"/>
                      <c:pt idx="0">
                        <c:v>GERMANY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rgbClr val="FF000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59A9-43B6-B3CE-0F07F9C09DA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9A9-43B6-B3CE-0F07F9C09DA0}"/>
                    </c:ext>
                  </c:extLst>
                </c:dPt>
                <c:dPt>
                  <c:idx val="2"/>
                  <c:bubble3D val="0"/>
                  <c:spPr>
                    <a:solidFill>
                      <a:srgbClr val="00B050"/>
                    </a:solidFill>
                    <a:ln w="19050"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59A9-43B6-B3CE-0F07F9C09DA0}"/>
                    </c:ext>
                  </c:extLst>
                </c:dPt>
                <c:dPt>
                  <c:idx val="3"/>
                  <c:bubble3D val="0"/>
                  <c:spPr>
                    <a:solidFill>
                      <a:srgbClr val="00B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59A9-43B6-B3CE-0F07F9C09DA0}"/>
                    </c:ext>
                  </c:extLst>
                </c:dPt>
                <c:dPt>
                  <c:idx val="4"/>
                  <c:bubble3D val="0"/>
                  <c:spPr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59A9-43B6-B3CE-0F07F9C09DA0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3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59A9-43B6-B3CE-0F07F9C09DA0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bg1">
                        <a:lumMod val="6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59A9-43B6-B3CE-0F07F9C09DA0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Tables'!$C$68:$I$68</c15:sqref>
                        </c15:formulaRef>
                      </c:ext>
                    </c:extLst>
                    <c:strCache>
                      <c:ptCount val="6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Tables'!$C$69:$J$69</c15:sqref>
                        </c15:fullRef>
                        <c15:formulaRef>
                          <c15:sqref>'Pivot Tables'!$C$69:$I$69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  <c:pt idx="5">
                        <c:v>16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E-59A9-43B6-B3CE-0F07F9C09DA0}"/>
                  </c:ext>
                </c:extLst>
              </c15:ser>
            </c15:filteredPieSeries>
            <c15:filteredPie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Tables'!$B$71</c15:sqref>
                        </c15:formulaRef>
                      </c:ext>
                    </c:extLst>
                    <c:strCache>
                      <c:ptCount val="1"/>
                      <c:pt idx="0">
                        <c:v>USA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59A9-43B6-B3CE-0F07F9C09DA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59A9-43B6-B3CE-0F07F9C09DA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59A9-43B6-B3CE-0F07F9C09DA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59A9-43B6-B3CE-0F07F9C09DA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59A9-43B6-B3CE-0F07F9C09DA0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59A9-43B6-B3CE-0F07F9C09DA0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59A9-43B6-B3CE-0F07F9C09DA0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Tables'!$C$68:$I$68</c15:sqref>
                        </c15:formulaRef>
                      </c:ext>
                    </c:extLst>
                    <c:strCache>
                      <c:ptCount val="6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Tables'!$C$71:$J$71</c15:sqref>
                        </c15:fullRef>
                        <c15:formulaRef>
                          <c15:sqref>'Pivot Tables'!$C$71:$I$71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  <c:pt idx="5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2C-59A9-43B6-B3CE-0F07F9C09DA0}"/>
                  </c:ext>
                </c:extLst>
              </c15:ser>
            </c15:filteredPieSeries>
            <c15:filteredPie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Tables'!$B$72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59A9-43B6-B3CE-0F07F9C09DA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59A9-43B6-B3CE-0F07F9C09DA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2-59A9-43B6-B3CE-0F07F9C09DA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4-59A9-43B6-B3CE-0F07F9C09DA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6-59A9-43B6-B3CE-0F07F9C09DA0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59A9-43B6-B3CE-0F07F9C09DA0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59A9-43B6-B3CE-0F07F9C09DA0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Tables'!$C$68:$I$68</c15:sqref>
                        </c15:formulaRef>
                      </c:ext>
                    </c:extLst>
                    <c:strCache>
                      <c:ptCount val="6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Tables'!$C$72:$J$72</c15:sqref>
                        </c15:fullRef>
                        <c15:formulaRef>
                          <c15:sqref>'Pivot Tables'!$C$72:$I$72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16</c:v>
                      </c:pt>
                      <c:pt idx="5">
                        <c:v>16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3B-59A9-43B6-B3CE-0F07F9C09DA0}"/>
                  </c:ext>
                </c:extLst>
              </c15:ser>
            </c15:filteredPieSeries>
            <c15:filteredPi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59A9-43B6-B3CE-0F07F9C09DA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59A9-43B6-B3CE-0F07F9C09DA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59A9-43B6-B3CE-0F07F9C09DA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59A9-43B6-B3CE-0F07F9C09DA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59A9-43B6-B3CE-0F07F9C09DA0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59A9-43B6-B3CE-0F07F9C09DA0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59A9-43B6-B3CE-0F07F9C09DA0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Tables'!$C$68:$I$68</c15:sqref>
                        </c15:formulaRef>
                      </c:ext>
                    </c:extLst>
                    <c:strCache>
                      <c:ptCount val="6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Tables'!$B$73:$C$73</c15:sqref>
                        </c15:fullRef>
                        <c15:formulaRef>
                          <c15:sqref>'Pivot Tables'!$B$73:$C$73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9A9-43B6-B3CE-0F07F9C09DA0}"/>
                  </c:ext>
                </c:extLst>
              </c15:ser>
            </c15:filteredPieSeries>
            <c15:filteredPi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59A9-43B6-B3CE-0F07F9C09DA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59A9-43B6-B3CE-0F07F9C09DA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59A9-43B6-B3CE-0F07F9C09DA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59A9-43B6-B3CE-0F07F9C09DA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59A9-43B6-B3CE-0F07F9C09DA0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59A9-43B6-B3CE-0F07F9C09DA0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59A9-43B6-B3CE-0F07F9C09DA0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Tables'!$C$68:$J$68</c15:sqref>
                        </c15:fullRef>
                        <c15:formulaRef>
                          <c15:sqref>'Pivot Tables'!$C$68:$I$68</c15:sqref>
                        </c15:formulaRef>
                      </c:ext>
                    </c:extLst>
                    <c:strCache>
                      <c:ptCount val="6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  <c:pt idx="5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Tables'!$B$74:$C$74</c15:sqref>
                        </c15:fullRef>
                        <c15:formulaRef>
                          <c15:sqref>'Pivot Tables'!$B$74:$C$74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9A9-43B6-B3CE-0F07F9C09DA0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Overall Progress</a:t>
            </a:r>
          </a:p>
        </c:rich>
      </c:tx>
      <c:layout>
        <c:manualLayout>
          <c:xMode val="edge"/>
          <c:yMode val="edge"/>
          <c:x val="6.5575032465928634E-2"/>
          <c:y val="3.573143340517887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968793842168072"/>
          <c:y val="0.12966312250864256"/>
          <c:w val="0.75336225155948044"/>
          <c:h val="0.73262191694707079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Tables'!$B$33</c15:sqref>
                        </c15:formulaRef>
                      </c:ext>
                    </c:extLst>
                    <c:strCache>
                      <c:ptCount val="1"/>
                      <c:pt idx="0">
                        <c:v>PM-BLKI Block Internet Connection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AED-4B99-B00C-F93A0197BFD4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Tables'!$C$33:$J$33</c15:sqref>
                        </c15:fullRef>
                        <c15:formulaRef>
                          <c15:sqref>('Pivot Tables'!$C$33:$G$33,'Pivot Tables'!$I$33)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AAED-4B99-B00C-F93A0197BFD4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Tables'!$B$34</c15:sqref>
                        </c15:formulaRef>
                      </c:ext>
                    </c:extLst>
                    <c:strCache>
                      <c:ptCount val="1"/>
                      <c:pt idx="0">
                        <c:v>PM-BLKS Block System-To-System Connection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5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Tables'!$C$34:$J$34</c15:sqref>
                        </c15:fullRef>
                        <c15:formulaRef>
                          <c15:sqref>('Pivot Tables'!$C$34:$G$34,'Pivot Tables'!$I$34)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Tables'!$H$34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6-AAED-4B99-B00C-F93A0197BFD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Tables'!$B$35</c15:sqref>
                        </c15:formulaRef>
                      </c:ext>
                    </c:extLst>
                    <c:strCache>
                      <c:ptCount val="1"/>
                      <c:pt idx="0">
                        <c:v>PM-BLIP IP Blacklisting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2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Tables'!$C$35:$J$35</c15:sqref>
                        </c15:fullRef>
                        <c15:formulaRef>
                          <c15:sqref>('Pivot Tables'!$C$35:$G$35,'Pivot Tables'!$I$35)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Tables'!$H$35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3-AAED-4B99-B00C-F93A0197BFD4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Tables'!$B$36</c15:sqref>
                        </c15:formulaRef>
                      </c:ext>
                    </c:extLst>
                    <c:strCache>
                      <c:ptCount val="1"/>
                      <c:pt idx="0">
                        <c:v>PM-RMAC Replace RAT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F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Tables'!$C$36:$J$36</c15:sqref>
                        </c15:fullRef>
                        <c15:formulaRef>
                          <c15:sqref>('Pivot Tables'!$C$36:$G$36,'Pivot Tables'!$I$36)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Tables'!$H$36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40-AAED-4B99-B00C-F93A0197BFD4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Tables'!$B$37</c15:sqref>
                        </c15:formulaRef>
                      </c:ext>
                    </c:extLst>
                    <c:strCache>
                      <c:ptCount val="1"/>
                      <c:pt idx="0">
                        <c:v>PM-SHDN Sinkhole Domain Names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2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4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6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8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A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C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Tables'!$C$37:$J$37</c15:sqref>
                        </c15:fullRef>
                        <c15:formulaRef>
                          <c15:sqref>('Pivot Tables'!$C$37:$G$37,'Pivot Tables'!$I$37)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Tables'!$H$37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4D-AAED-4B99-B00C-F93A0197BFD4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Tables'!$B$38</c15:sqref>
                        </c15:formulaRef>
                      </c:ext>
                    </c:extLst>
                    <c:strCache>
                      <c:ptCount val="1"/>
                      <c:pt idx="0">
                        <c:v>PM-PWCE Enterprise Password Change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9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Tables'!$C$38:$J$38</c15:sqref>
                        </c15:fullRef>
                        <c15:formulaRef>
                          <c15:sqref>('Pivot Tables'!$C$38:$G$38,'Pivot Tables'!$I$38)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Tables'!$H$38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5A-AAED-4B99-B00C-F93A0197BFD4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Tables'!$B$39</c15:sqref>
                        </c15:formulaRef>
                      </c:ext>
                    </c:extLst>
                    <c:strCache>
                      <c:ptCount val="1"/>
                      <c:pt idx="0">
                        <c:v>PM-ESAE Implement ESAE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C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E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6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Tables'!$C$39:$J$39</c15:sqref>
                        </c15:fullRef>
                        <c15:formulaRef>
                          <c15:sqref>('Pivot Tables'!$C$39:$G$39,'Pivot Tables'!$I$39)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Tables'!$H$39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67-AAED-4B99-B00C-F93A0197BFD4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Tables'!$B$40</c15:sqref>
                        </c15:formulaRef>
                      </c:ext>
                    </c:extLst>
                    <c:strCache>
                      <c:ptCount val="1"/>
                      <c:pt idx="0">
                        <c:v>PM-WHIT Application Whitelisting on DCs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3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Tables'!$C$40:$J$40</c15:sqref>
                        </c15:fullRef>
                        <c15:formulaRef>
                          <c15:sqref>('Pivot Tables'!$C$40:$G$40,'Pivot Tables'!$I$40)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74-AAED-4B99-B00C-F93A0197BFD4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Tables'!$B$41</c15:sqref>
                        </c15:formulaRef>
                      </c:ext>
                    </c:extLst>
                    <c:strCache>
                      <c:ptCount val="1"/>
                      <c:pt idx="0">
                        <c:v>PM-CMPS Identify Compromised Systems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6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8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0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Tables'!$C$41:$J$41</c15:sqref>
                        </c15:fullRef>
                        <c15:formulaRef>
                          <c15:sqref>('Pivot Tables'!$C$41:$G$41,'Pivot Tables'!$I$41)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Tables'!$H$41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81-AAED-4B99-B00C-F93A0197BFD4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Tables'!$B$42</c15:sqref>
                        </c15:formulaRef>
                      </c:ext>
                    </c:extLst>
                    <c:strCache>
                      <c:ptCount val="1"/>
                      <c:pt idx="0">
                        <c:v>PM-REBS Rebuild Servers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D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Tables'!$C$42:$J$42</c15:sqref>
                        </c15:fullRef>
                        <c15:formulaRef>
                          <c15:sqref>('Pivot Tables'!$C$42:$G$42,'Pivot Tables'!$I$42)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8E-AAED-4B99-B00C-F93A0197BFD4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Tables'!$B$43</c15:sqref>
                        </c15:formulaRef>
                      </c:ext>
                    </c:extLst>
                    <c:strCache>
                      <c:ptCount val="1"/>
                      <c:pt idx="0">
                        <c:v>PM-REBC Rebuild Clients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A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Tables'!$C$43:$J$43</c15:sqref>
                        </c15:fullRef>
                        <c15:formulaRef>
                          <c15:sqref>('Pivot Tables'!$C$43:$G$43,'Pivot Tables'!$I$43)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Tables'!$H$43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9B-AAED-4B99-B00C-F93A0197BFD4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Tables'!$B$44</c15:sqref>
                        </c15:formulaRef>
                      </c:ext>
                    </c:extLst>
                    <c:strCache>
                      <c:ptCount val="1"/>
                      <c:pt idx="0">
                        <c:v>PM-PWCC Password Change for Privileged Local Accounts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1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3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5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7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Tables'!$C$44:$J$44</c15:sqref>
                        </c15:fullRef>
                        <c15:formulaRef>
                          <c15:sqref>('Pivot Tables'!$C$44:$G$44,'Pivot Tables'!$I$44)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Tables'!$H$44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A8-AAED-4B99-B00C-F93A0197BFD4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Tables'!$B$45</c15:sqref>
                        </c15:formulaRef>
                      </c:ext>
                    </c:extLst>
                    <c:strCache>
                      <c:ptCount val="1"/>
                      <c:pt idx="0">
                        <c:v>PM-MVUL Scan for vulnerable Middleware components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0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2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4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Tables'!$C$45:$J$45</c15:sqref>
                        </c15:fullRef>
                        <c15:formulaRef>
                          <c15:sqref>('Pivot Tables'!$C$45:$G$45,'Pivot Tables'!$I$45)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Tables'!$H$45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B5-AAED-4B99-B00C-F93A0197BFD4}"/>
                  </c:ext>
                </c:extLst>
              </c15:ser>
            </c15:filteredPieSeries>
            <c15:filteredPi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Tables'!$B$46</c15:sqref>
                        </c15:formulaRef>
                      </c:ext>
                    </c:extLst>
                    <c:strCache>
                      <c:ptCount val="1"/>
                      <c:pt idx="0">
                        <c:v>PM-MHRD Middleware hardening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B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D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F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Tables'!$C$46:$J$46</c15:sqref>
                        </c15:fullRef>
                        <c15:formulaRef>
                          <c15:sqref>('Pivot Tables'!$C$46:$G$46,'Pivot Tables'!$I$46)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Tables'!$H$46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C2-AAED-4B99-B00C-F93A0197BFD4}"/>
                  </c:ext>
                </c:extLst>
              </c15:ser>
            </c15:filteredPieSeries>
            <c15:filteredPieSeries>
              <c15:ser>
                <c:idx val="16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Tables'!$B$49</c15:sqref>
                        </c15:formulaRef>
                      </c:ext>
                    </c:extLst>
                    <c:strCache>
                      <c:ptCount val="1"/>
                      <c:pt idx="0">
                        <c:v>Grand 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6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8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A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C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E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Tables'!$C$49:$J$49</c15:sqref>
                        </c15:fullRef>
                        <c15:formulaRef>
                          <c15:sqref>('Pivot Tables'!$C$49:$G$49,'Pivot Tables'!$I$49)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80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Tables'!$H$49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CF-AAED-4B99-B00C-F93A0197BFD4}"/>
                  </c:ext>
                </c:extLst>
              </c15:ser>
            </c15:filteredPieSeries>
            <c15:filteredPie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Tables'!$B$47</c15:sqref>
                        </c15:formulaRef>
                      </c:ext>
                    </c:extLst>
                    <c:strCache>
                      <c:ptCount val="1"/>
                      <c:pt idx="0">
                        <c:v>PM-AWRN: Awareness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1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3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5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9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B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Tables'!$C$47:$J$47</c15:sqref>
                        </c15:fullRef>
                        <c15:formulaRef>
                          <c15:sqref>('Pivot Tables'!$C$47:$G$47,'Pivot Tables'!$I$47)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Tables'!$H$47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DC-AAED-4B99-B00C-F93A0197BFD4}"/>
                  </c:ext>
                </c:extLst>
              </c15:ser>
            </c15:filteredPieSeries>
            <c15:filteredPie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Tables'!$B$48</c15:sqref>
                        </c15:formulaRef>
                      </c:ext>
                    </c:extLst>
                    <c:strCache>
                      <c:ptCount val="1"/>
                      <c:pt idx="0">
                        <c:v>PM-KTGT Kerberos TGT Reset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E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0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2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4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6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8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Tables'!$C$48:$J$48</c15:sqref>
                        </c15:fullRef>
                        <c15:formulaRef>
                          <c15:sqref>('Pivot Tables'!$C$48:$G$48,'Pivot Tables'!$I$48)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Tables'!$H$48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E9-AAED-4B99-B00C-F93A0197BFD4}"/>
                  </c:ext>
                </c:extLst>
              </c15:ser>
            </c15:filteredPieSeries>
            <c15:filteredPi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B-AAED-4B99-B00C-F93A0197BFD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D-AAED-4B99-B00C-F93A0197BFD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F-AAED-4B99-B00C-F93A0197BFD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1-AAED-4B99-B00C-F93A0197BFD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3-AAED-4B99-B00C-F93A0197BFD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5-AAED-4B99-B00C-F93A0197BFD4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Tables'!$C$50:$J$50</c15:sqref>
                        </c15:fullRef>
                        <c15:formulaRef>
                          <c15:sqref>('Pivot Tables'!$C$50:$G$50,'Pivot Tables'!$I$50)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Tables'!$H$50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F6-AAED-4B99-B00C-F93A0197BFD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9050" cap="flat" cmpd="sng" algn="ctr">
      <a:noFill/>
      <a:prstDash val="dash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Overall Progress</a:t>
            </a:r>
          </a:p>
        </c:rich>
      </c:tx>
      <c:layout>
        <c:manualLayout>
          <c:xMode val="edge"/>
          <c:yMode val="edge"/>
          <c:x val="6.5575032465928634E-2"/>
          <c:y val="3.573143340517887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968793842168072"/>
          <c:y val="0.12966312250864256"/>
          <c:w val="0.75336225155948044"/>
          <c:h val="0.73262191694707079"/>
        </c:manualLayout>
      </c:layout>
      <c:doughnutChart>
        <c:varyColors val="1"/>
        <c:ser>
          <c:idx val="18"/>
          <c:order val="17"/>
          <c:tx>
            <c:strRef>
              <c:f>'Pivot Tables'!$B$23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</c:spPr>
          <c:dPt>
            <c:idx val="0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20-4948-A2F3-B9CF41783185}"/>
              </c:ext>
            </c:extLst>
          </c:dPt>
          <c:dPt>
            <c:idx val="1"/>
            <c:bubble3D val="0"/>
            <c:spPr>
              <a:solidFill>
                <a:srgbClr val="71AB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20-4948-A2F3-B9CF41783185}"/>
              </c:ext>
            </c:extLst>
          </c:dPt>
          <c:dPt>
            <c:idx val="2"/>
            <c:bubble3D val="0"/>
            <c:spPr>
              <a:solidFill>
                <a:srgbClr val="B8D26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20-4948-A2F3-B9CF41783185}"/>
              </c:ext>
            </c:extLst>
          </c:dPt>
          <c:dPt>
            <c:idx val="3"/>
            <c:bubble3D val="0"/>
            <c:spPr>
              <a:solidFill>
                <a:srgbClr val="0074A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20-4948-A2F3-B9CF41783185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20-4948-A2F3-B9CF41783185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20-4948-A2F3-B9CF41783185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'Pivot Tables'!$C$32:$J$32</c15:sqref>
                  </c15:fullRef>
                </c:ext>
              </c:extLst>
              <c:f>('Pivot Tables'!$C$32:$G$32,'Pivot Tables'!$I$32:$J$32)</c:f>
              <c:strCache>
                <c:ptCount val="5"/>
                <c:pt idx="0">
                  <c:v>evidence provided</c:v>
                </c:pt>
                <c:pt idx="1">
                  <c:v>completed</c:v>
                </c:pt>
                <c:pt idx="2">
                  <c:v>in progress</c:v>
                </c:pt>
                <c:pt idx="3">
                  <c:v>released</c:v>
                </c:pt>
                <c:pt idx="4">
                  <c:v>to be started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'Pivot Tables'!$C$23:$H$23</c15:sqref>
                  </c15:fullRef>
                </c:ext>
              </c:extLst>
              <c:f>'Pivot Tables'!$C$23:$G$23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20-4948-A2F3-B9CF41783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'Pivot Tables'!$B$33</c15:sqref>
                        </c15:formulaRef>
                      </c:ext>
                    </c:extLst>
                    <c:strCache>
                      <c:ptCount val="1"/>
                      <c:pt idx="0">
                        <c:v>PM-BLKI Block Internet Connection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1920-4948-A2F3-B9CF41783185}"/>
                    </c:ext>
                  </c:extLst>
                </c:dPt>
                <c:cat>
                  <c:strRef>
                    <c:extLst>
                      <c:ext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'Pivot Tables'!$C$33:$J$33</c15:sqref>
                        </c15:fullRef>
                        <c15:formulaRef>
                          <c15:sqref>('Pivot Tables'!$C$33:$G$33,'Pivot Tables'!$I$33:$J$33)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1920-4948-A2F3-B9CF41783185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Tables'!$B$34</c15:sqref>
                        </c15:formulaRef>
                      </c:ext>
                    </c:extLst>
                    <c:strCache>
                      <c:ptCount val="1"/>
                      <c:pt idx="0">
                        <c:v>PM-BLKS Block System-To-System Connection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5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Tables'!$C$34:$J$34</c15:sqref>
                        </c15:fullRef>
                        <c15:formulaRef>
                          <c15:sqref>('Pivot Tables'!$C$34:$G$34,'Pivot Tables'!$I$34:$J$34)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Tables'!$H$34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26-1920-4948-A2F3-B9CF41783185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Tables'!$B$35</c15:sqref>
                        </c15:formulaRef>
                      </c:ext>
                    </c:extLst>
                    <c:strCache>
                      <c:ptCount val="1"/>
                      <c:pt idx="0">
                        <c:v>PM-BLIP IP Blacklisting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2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Tables'!$C$35:$J$35</c15:sqref>
                        </c15:fullRef>
                        <c15:formulaRef>
                          <c15:sqref>('Pivot Tables'!$C$35:$G$35,'Pivot Tables'!$I$35:$J$35)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Tables'!$H$35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33-1920-4948-A2F3-B9CF41783185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Tables'!$B$36</c15:sqref>
                        </c15:formulaRef>
                      </c:ext>
                    </c:extLst>
                    <c:strCache>
                      <c:ptCount val="1"/>
                      <c:pt idx="0">
                        <c:v>PM-RMAC Replace RAT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F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Tables'!$C$36:$J$36</c15:sqref>
                        </c15:fullRef>
                        <c15:formulaRef>
                          <c15:sqref>('Pivot Tables'!$C$36:$G$36,'Pivot Tables'!$I$36:$J$36)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Tables'!$H$36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40-1920-4948-A2F3-B9CF41783185}"/>
                  </c:ext>
                </c:extLst>
              </c15:ser>
            </c15:filteredPieSeries>
            <c15:filteredPi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Tables'!$B$37</c15:sqref>
                        </c15:formulaRef>
                      </c:ext>
                    </c:extLst>
                    <c:strCache>
                      <c:ptCount val="1"/>
                      <c:pt idx="0">
                        <c:v>PM-SHDN Sinkhole Domain Names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2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4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6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8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A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C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Tables'!$C$37:$J$37</c15:sqref>
                        </c15:fullRef>
                        <c15:formulaRef>
                          <c15:sqref>('Pivot Tables'!$C$37:$G$37,'Pivot Tables'!$I$37:$J$37)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Tables'!$H$37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4D-1920-4948-A2F3-B9CF41783185}"/>
                  </c:ext>
                </c:extLst>
              </c15:ser>
            </c15:filteredPieSeries>
            <c15:filteredPi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Tables'!$B$38</c15:sqref>
                        </c15:formulaRef>
                      </c:ext>
                    </c:extLst>
                    <c:strCache>
                      <c:ptCount val="1"/>
                      <c:pt idx="0">
                        <c:v>PM-PWCE Enterprise Password Change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9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Tables'!$C$38:$J$38</c15:sqref>
                        </c15:fullRef>
                        <c15:formulaRef>
                          <c15:sqref>('Pivot Tables'!$C$38:$G$38,'Pivot Tables'!$I$38:$J$38)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Tables'!$H$38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5A-1920-4948-A2F3-B9CF41783185}"/>
                  </c:ext>
                </c:extLst>
              </c15:ser>
            </c15:filteredPieSeries>
            <c15:filteredPi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Tables'!$B$39</c15:sqref>
                        </c15:formulaRef>
                      </c:ext>
                    </c:extLst>
                    <c:strCache>
                      <c:ptCount val="1"/>
                      <c:pt idx="0">
                        <c:v>PM-ESAE Implement ESAE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C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E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66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Tables'!$C$39:$J$39</c15:sqref>
                        </c15:fullRef>
                        <c15:formulaRef>
                          <c15:sqref>('Pivot Tables'!$C$39:$G$39,'Pivot Tables'!$I$39:$J$39)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Tables'!$H$39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67-1920-4948-A2F3-B9CF41783185}"/>
                  </c:ext>
                </c:extLst>
              </c15:ser>
            </c15:filteredPieSeries>
            <c15:filteredPi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Tables'!$B$40</c15:sqref>
                        </c15:formulaRef>
                      </c:ext>
                    </c:extLst>
                    <c:strCache>
                      <c:ptCount val="1"/>
                      <c:pt idx="0">
                        <c:v>PM-WHIT Application Whitelisting on DCs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73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Tables'!$C$40:$J$40</c15:sqref>
                        </c15:fullRef>
                        <c15:formulaRef>
                          <c15:sqref>('Pivot Tables'!$C$40:$G$40,'Pivot Tables'!$I$40:$J$40)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Tables'!$H$40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74-1920-4948-A2F3-B9CF41783185}"/>
                  </c:ext>
                </c:extLst>
              </c15:ser>
            </c15:filteredPieSeries>
            <c15:filteredPi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Tables'!$B$41</c15:sqref>
                        </c15:formulaRef>
                      </c:ext>
                    </c:extLst>
                    <c:strCache>
                      <c:ptCount val="1"/>
                      <c:pt idx="0">
                        <c:v>PM-CMPS Identify Compromised Systems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6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8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0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Tables'!$C$41:$J$41</c15:sqref>
                        </c15:fullRef>
                        <c15:formulaRef>
                          <c15:sqref>('Pivot Tables'!$C$41:$G$41,'Pivot Tables'!$I$41:$J$41)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Tables'!$H$41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81-1920-4948-A2F3-B9CF41783185}"/>
                  </c:ext>
                </c:extLst>
              </c15:ser>
            </c15:filteredPieSeries>
            <c15:filteredPi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Tables'!$B$42</c15:sqref>
                        </c15:formulaRef>
                      </c:ext>
                    </c:extLst>
                    <c:strCache>
                      <c:ptCount val="1"/>
                      <c:pt idx="0">
                        <c:v>PM-REBS Rebuild Servers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8D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Tables'!$C$42:$J$42</c15:sqref>
                        </c15:fullRef>
                        <c15:formulaRef>
                          <c15:sqref>('Pivot Tables'!$C$42:$G$42,'Pivot Tables'!$I$42:$J$42)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Tables'!$H$42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8E-1920-4948-A2F3-B9CF41783185}"/>
                  </c:ext>
                </c:extLst>
              </c15:ser>
            </c15:filteredPieSeries>
            <c15:filteredPi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Tables'!$B$43</c15:sqref>
                        </c15:formulaRef>
                      </c:ext>
                    </c:extLst>
                    <c:strCache>
                      <c:ptCount val="1"/>
                      <c:pt idx="0">
                        <c:v>PM-REBC Rebuild Clients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9A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Tables'!$C$43:$J$43</c15:sqref>
                        </c15:fullRef>
                        <c15:formulaRef>
                          <c15:sqref>('Pivot Tables'!$C$43:$G$43,'Pivot Tables'!$I$43:$J$43)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Tables'!$H$43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9B-1920-4948-A2F3-B9CF41783185}"/>
                  </c:ext>
                </c:extLst>
              </c15:ser>
            </c15:filteredPieSeries>
            <c15:filteredPi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Tables'!$B$44</c15:sqref>
                        </c15:formulaRef>
                      </c:ext>
                    </c:extLst>
                    <c:strCache>
                      <c:ptCount val="1"/>
                      <c:pt idx="0">
                        <c:v>PM-PWCC Password Change for Privileged Local Accounts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1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3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5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7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Tables'!$C$44:$J$44</c15:sqref>
                        </c15:fullRef>
                        <c15:formulaRef>
                          <c15:sqref>('Pivot Tables'!$C$44:$G$44,'Pivot Tables'!$I$44:$J$44)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Tables'!$H$44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A8-1920-4948-A2F3-B9CF41783185}"/>
                  </c:ext>
                </c:extLst>
              </c15:ser>
            </c15:filteredPieSeries>
            <c15:filteredPi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Tables'!$B$45</c15:sqref>
                        </c15:formulaRef>
                      </c:ext>
                    </c:extLst>
                    <c:strCache>
                      <c:ptCount val="1"/>
                      <c:pt idx="0">
                        <c:v>PM-MVUL Scan for vulnerable Middleware components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0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2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4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Tables'!$C$45:$J$45</c15:sqref>
                        </c15:fullRef>
                        <c15:formulaRef>
                          <c15:sqref>('Pivot Tables'!$C$45:$G$45,'Pivot Tables'!$I$45:$J$45)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Tables'!$H$45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B5-1920-4948-A2F3-B9CF41783185}"/>
                  </c:ext>
                </c:extLst>
              </c15:ser>
            </c15:filteredPieSeries>
            <c15:filteredPi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Tables'!$B$46</c15:sqref>
                        </c15:formulaRef>
                      </c:ext>
                    </c:extLst>
                    <c:strCache>
                      <c:ptCount val="1"/>
                      <c:pt idx="0">
                        <c:v>PM-MHRD Middleware hardening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B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D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F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Tables'!$C$46:$J$46</c15:sqref>
                        </c15:fullRef>
                        <c15:formulaRef>
                          <c15:sqref>('Pivot Tables'!$C$46:$G$46,'Pivot Tables'!$I$46:$J$46)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Tables'!$H$46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C2-1920-4948-A2F3-B9CF41783185}"/>
                  </c:ext>
                </c:extLst>
              </c15:ser>
            </c15:filteredPieSeries>
            <c15:filteredPieSeries>
              <c15:ser>
                <c:idx val="16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Tables'!$B$49</c15:sqref>
                        </c15:formulaRef>
                      </c:ext>
                    </c:extLst>
                    <c:strCache>
                      <c:ptCount val="1"/>
                      <c:pt idx="0">
                        <c:v>Grand 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6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8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A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C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E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Tables'!$C$49:$J$49</c15:sqref>
                        </c15:fullRef>
                        <c15:formulaRef>
                          <c15:sqref>('Pivot Tables'!$C$49:$G$49,'Pivot Tables'!$I$49:$J$49)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80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Tables'!$H$49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CF-1920-4948-A2F3-B9CF41783185}"/>
                  </c:ext>
                </c:extLst>
              </c15:ser>
            </c15:filteredPieSeries>
            <c15:filteredPie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Tables'!$B$47</c15:sqref>
                        </c15:formulaRef>
                      </c:ext>
                    </c:extLst>
                    <c:strCache>
                      <c:ptCount val="1"/>
                      <c:pt idx="0">
                        <c:v>PM-AWRN: Awareness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1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3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5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9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B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Tables'!$C$47:$J$47</c15:sqref>
                        </c15:fullRef>
                        <c15:formulaRef>
                          <c15:sqref>('Pivot Tables'!$C$47:$G$47,'Pivot Tables'!$I$47:$J$47)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Tables'!$H$47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DC-1920-4948-A2F3-B9CF41783185}"/>
                  </c:ext>
                </c:extLst>
              </c15:ser>
            </c15:filteredPieSeries>
            <c15:filteredPie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'Pivot Tables'!$B$48</c15:sqref>
                        </c15:formulaRef>
                      </c:ext>
                    </c:extLst>
                    <c:strCache>
                      <c:ptCount val="1"/>
                      <c:pt idx="0">
                        <c:v>PM-KTGT Kerberos TGT Reset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E-1920-4948-A2F3-B9CF4178318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0-1920-4948-A2F3-B9CF4178318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2-1920-4948-A2F3-B9CF4178318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4-1920-4948-A2F3-B9CF4178318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6-1920-4948-A2F3-B9CF4178318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8-1920-4948-A2F3-B9CF41783185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'Pivot Tables'!$C$32:$J$32</c15:sqref>
                        </c15:fullRef>
                        <c15:formulaRef>
                          <c15:sqref>('Pivot Tables'!$C$32:$G$32,'Pivot Tables'!$I$32:$J$32)</c15:sqref>
                        </c15:formulaRef>
                      </c:ext>
                    </c:extLst>
                    <c:strCache>
                      <c:ptCount val="5"/>
                      <c:pt idx="0">
                        <c:v>evidence provided</c:v>
                      </c:pt>
                      <c:pt idx="1">
                        <c:v>completed</c:v>
                      </c:pt>
                      <c:pt idx="2">
                        <c:v>in progress</c:v>
                      </c:pt>
                      <c:pt idx="3">
                        <c:v>released</c:v>
                      </c:pt>
                      <c:pt idx="4">
                        <c:v>to be started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'Pivot Tables'!$C$48:$J$48</c15:sqref>
                        </c15:fullRef>
                        <c15:formulaRef>
                          <c15:sqref>('Pivot Tables'!$C$48:$G$48,'Pivot Tables'!$I$48:$J$48)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>
                      <c15:categoryFilterException>
                        <c15:sqref>'Pivot Tables'!$H$48</c15:sqref>
                        <c15:spPr xmlns:c15="http://schemas.microsoft.com/office/drawing/2012/chart">
                          <a:solidFill>
                            <a:schemeClr val="accent6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E9-1920-4948-A2F3-B9CF41783185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19050" cap="flat" cmpd="sng" algn="ctr">
      <a:noFill/>
      <a:prstDash val="dash"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[20171011_DCSO_Remediation_Tracking_Tool_v2.2 - Copy3.xlsm]Pivot Tables!WP Status 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Progress Per</a:t>
            </a:r>
            <a:r>
              <a:rPr lang="en-US" sz="1600" b="1" baseline="0">
                <a:solidFill>
                  <a:sysClr val="windowText" lastClr="000000"/>
                </a:solidFill>
              </a:rPr>
              <a:t> Package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3.2259478409512793E-2"/>
          <c:y val="6.230768023109771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  <c:pivotFmt>
        <c:idx val="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solidFill>
              <a:schemeClr val="tx1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3">
              <a:lumMod val="75000"/>
            </a:schemeClr>
          </a:solidFill>
          <a:ln>
            <a:solidFill>
              <a:schemeClr val="tx1">
                <a:lumMod val="60000"/>
                <a:lumOff val="40000"/>
              </a:schemeClr>
            </a:solidFill>
          </a:ln>
          <a:effectLst/>
        </c:spPr>
        <c:marker>
          <c:symbol val="none"/>
        </c:marker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9"/>
      </c:pivotFmt>
      <c:pivotFmt>
        <c:idx val="40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2"/>
      </c:pivotFmt>
      <c:pivotFmt>
        <c:idx val="4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4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5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'Pivot Tables'!$C$5:$C$6</c:f>
              <c:strCache>
                <c:ptCount val="1"/>
                <c:pt idx="0">
                  <c:v>evidence provided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Tables'!$C$7:$C$23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9-4A5E-BCC5-43B1AEFD0AD3}"/>
            </c:ext>
          </c:extLst>
        </c:ser>
        <c:ser>
          <c:idx val="1"/>
          <c:order val="1"/>
          <c:tx>
            <c:strRef>
              <c:f>'Pivot Tables'!$D$5:$D$6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Tables'!$D$7:$D$23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D9-4A5E-BCC5-43B1AEFD0AD3}"/>
            </c:ext>
          </c:extLst>
        </c:ser>
        <c:ser>
          <c:idx val="2"/>
          <c:order val="2"/>
          <c:tx>
            <c:strRef>
              <c:f>'Pivot Tables'!$E$5:$E$6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B8D264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Tables'!$E$7:$E$23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D9-4A5E-BCC5-43B1AEFD0AD3}"/>
            </c:ext>
          </c:extLst>
        </c:ser>
        <c:ser>
          <c:idx val="3"/>
          <c:order val="3"/>
          <c:tx>
            <c:strRef>
              <c:f>'Pivot Tables'!$F$5:$F$6</c:f>
              <c:strCache>
                <c:ptCount val="1"/>
                <c:pt idx="0">
                  <c:v>released</c:v>
                </c:pt>
              </c:strCache>
            </c:strRef>
          </c:tx>
          <c:spPr>
            <a:solidFill>
              <a:srgbClr val="0074A1"/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Tables'!$F$7:$F$23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D9-4A5E-BCC5-43B1AEFD0AD3}"/>
            </c:ext>
          </c:extLst>
        </c:ser>
        <c:ser>
          <c:idx val="4"/>
          <c:order val="4"/>
          <c:tx>
            <c:strRef>
              <c:f>'Pivot Tables'!$G$5:$G$6</c:f>
              <c:strCache>
                <c:ptCount val="1"/>
                <c:pt idx="0">
                  <c:v>to be started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Tables'!$B$7:$B$23</c:f>
              <c:strCache>
                <c:ptCount val="16"/>
                <c:pt idx="0">
                  <c:v>PM-BLKI Block Internet Connection</c:v>
                </c:pt>
                <c:pt idx="1">
                  <c:v>PM-BLKS Block System-To-System Connection</c:v>
                </c:pt>
                <c:pt idx="2">
                  <c:v>PM-BLIP IP Blacklisting</c:v>
                </c:pt>
                <c:pt idx="3">
                  <c:v>PM-RMAC Replace RAT</c:v>
                </c:pt>
                <c:pt idx="4">
                  <c:v>PM-SHDN Sinkhole Domain Names</c:v>
                </c:pt>
                <c:pt idx="5">
                  <c:v>PM-PWCE Enterprise Password Change</c:v>
                </c:pt>
                <c:pt idx="6">
                  <c:v>PM-ESAE Implement ESAE</c:v>
                </c:pt>
                <c:pt idx="7">
                  <c:v>PM-WHIT Application Whitelisting on DCs</c:v>
                </c:pt>
                <c:pt idx="8">
                  <c:v>PM-CMPS Identify Compromised Systems</c:v>
                </c:pt>
                <c:pt idx="9">
                  <c:v>PM-REBS Rebuild Servers</c:v>
                </c:pt>
                <c:pt idx="10">
                  <c:v>PM-REBC Rebuild Clients</c:v>
                </c:pt>
                <c:pt idx="11">
                  <c:v>PM-PWCC Password Change for Privileged Local Accounts</c:v>
                </c:pt>
                <c:pt idx="12">
                  <c:v>PM-MVUL Scan for vulnerable Middleware components</c:v>
                </c:pt>
                <c:pt idx="13">
                  <c:v>PM-MHRD Middleware hardening</c:v>
                </c:pt>
                <c:pt idx="14">
                  <c:v>PM-AWRN: Awareness</c:v>
                </c:pt>
                <c:pt idx="15">
                  <c:v>PM-KTGT Kerberos TGT Reset</c:v>
                </c:pt>
              </c:strCache>
            </c:strRef>
          </c:cat>
          <c:val>
            <c:numRef>
              <c:f>'Pivot Tables'!$G$7:$G$23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9-4A5E-BCC5-43B1AEFD0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41357800"/>
        <c:axId val="341360424"/>
      </c:barChart>
      <c:catAx>
        <c:axId val="341357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60424"/>
        <c:crosses val="autoZero"/>
        <c:auto val="1"/>
        <c:lblAlgn val="ctr"/>
        <c:lblOffset val="100"/>
        <c:noMultiLvlLbl val="0"/>
      </c:catAx>
      <c:valAx>
        <c:axId val="34136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57800"/>
        <c:crosses val="autoZero"/>
        <c:crossBetween val="between"/>
        <c:majorUnit val="0.2"/>
      </c:valAx>
      <c:dTable>
        <c:showHorzBorder val="1"/>
        <c:showVertBorder val="1"/>
        <c:showOutline val="0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[20171011_DCSO_Remediation_Tracking_Tool_v2.2 - Copy3.xlsm]Pivot Tables!PivotTable9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Progress Per Site</a:t>
            </a:r>
          </a:p>
        </c:rich>
      </c:tx>
      <c:layout>
        <c:manualLayout>
          <c:xMode val="edge"/>
          <c:yMode val="edge"/>
          <c:x val="0.43166062884317413"/>
          <c:y val="2.2581783976316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rgbClr val="71AB1A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rgbClr val="B8D264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rgbClr val="0074A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086038851703491"/>
          <c:y val="0.12148499308182004"/>
          <c:w val="0.84821066428052938"/>
          <c:h val="0.7726880748602077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'Pivot Tables'!$C$58:$C$59</c:f>
              <c:strCache>
                <c:ptCount val="1"/>
                <c:pt idx="0">
                  <c:v>evidence provided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Tables'!$C$60:$C$65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76-4896-9A16-F50AD2F16527}"/>
            </c:ext>
          </c:extLst>
        </c:ser>
        <c:ser>
          <c:idx val="1"/>
          <c:order val="1"/>
          <c:tx>
            <c:strRef>
              <c:f>'Pivot Tables'!$D$58:$D$59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71AB1A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Tables'!$D$60:$D$65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76-4896-9A16-F50AD2F16527}"/>
            </c:ext>
          </c:extLst>
        </c:ser>
        <c:ser>
          <c:idx val="2"/>
          <c:order val="2"/>
          <c:tx>
            <c:strRef>
              <c:f>'Pivot Tables'!$E$58:$E$59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B8D264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Tables'!$E$60:$E$65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76-4896-9A16-F50AD2F16527}"/>
            </c:ext>
          </c:extLst>
        </c:ser>
        <c:ser>
          <c:idx val="3"/>
          <c:order val="3"/>
          <c:tx>
            <c:strRef>
              <c:f>'Pivot Tables'!$F$58:$F$59</c:f>
              <c:strCache>
                <c:ptCount val="1"/>
                <c:pt idx="0">
                  <c:v>released</c:v>
                </c:pt>
              </c:strCache>
            </c:strRef>
          </c:tx>
          <c:spPr>
            <a:solidFill>
              <a:srgbClr val="0074A1"/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Tables'!$F$60:$F$65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76-4896-9A16-F50AD2F16527}"/>
            </c:ext>
          </c:extLst>
        </c:ser>
        <c:ser>
          <c:idx val="4"/>
          <c:order val="4"/>
          <c:tx>
            <c:strRef>
              <c:f>'Pivot Tables'!$G$58:$G$59</c:f>
              <c:strCache>
                <c:ptCount val="1"/>
                <c:pt idx="0">
                  <c:v>to be started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Tables'!$B$60:$B$65</c:f>
              <c:strCache>
                <c:ptCount val="5"/>
                <c:pt idx="0">
                  <c:v>GERMANY</c:v>
                </c:pt>
                <c:pt idx="1">
                  <c:v>UK</c:v>
                </c:pt>
                <c:pt idx="2">
                  <c:v>USA</c:v>
                </c:pt>
                <c:pt idx="3">
                  <c:v>CHINA</c:v>
                </c:pt>
                <c:pt idx="4">
                  <c:v>RUSSIA</c:v>
                </c:pt>
              </c:strCache>
            </c:strRef>
          </c:cat>
          <c:val>
            <c:numRef>
              <c:f>'Pivot Tables'!$G$60:$G$65</c:f>
              <c:numCache>
                <c:formatCode>General</c:formatCode>
                <c:ptCount val="5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76-4896-9A16-F50AD2F1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8549168"/>
        <c:axId val="728545560"/>
      </c:barChart>
      <c:catAx>
        <c:axId val="728549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45560"/>
        <c:crosses val="autoZero"/>
        <c:auto val="1"/>
        <c:lblAlgn val="ctr"/>
        <c:lblOffset val="100"/>
        <c:noMultiLvlLbl val="0"/>
      </c:catAx>
      <c:valAx>
        <c:axId val="72854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4916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277091</xdr:colOff>
      <xdr:row>0</xdr:row>
      <xdr:rowOff>199159</xdr:rowOff>
    </xdr:from>
    <xdr:to>
      <xdr:col>17</xdr:col>
      <xdr:colOff>447675</xdr:colOff>
      <xdr:row>2</xdr:row>
      <xdr:rowOff>77932</xdr:rowOff>
    </xdr:to>
    <xdr:sp macro="[0]!Button_Tool_Reset" textlink="">
      <xdr:nvSpPr>
        <xdr:cNvPr id="2" name="Rechteck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114318" y="199159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Delete All Data</a:t>
          </a:r>
        </a:p>
      </xdr:txBody>
    </xdr:sp>
    <xdr:clientData/>
  </xdr:twoCellAnchor>
  <xdr:twoCellAnchor>
    <xdr:from>
      <xdr:col>15</xdr:col>
      <xdr:colOff>277091</xdr:colOff>
      <xdr:row>3</xdr:row>
      <xdr:rowOff>103909</xdr:rowOff>
    </xdr:from>
    <xdr:to>
      <xdr:col>17</xdr:col>
      <xdr:colOff>447675</xdr:colOff>
      <xdr:row>5</xdr:row>
      <xdr:rowOff>0</xdr:rowOff>
    </xdr:to>
    <xdr:sp macro="[0]!Button_Tracking_Reset" textlink="">
      <xdr:nvSpPr>
        <xdr:cNvPr id="3" name="Rechteck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114318" y="675409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Reset Tracking</a:t>
          </a:r>
        </a:p>
      </xdr:txBody>
    </xdr:sp>
    <xdr:clientData/>
  </xdr:twoCellAnchor>
  <xdr:twoCellAnchor>
    <xdr:from>
      <xdr:col>15</xdr:col>
      <xdr:colOff>281609</xdr:colOff>
      <xdr:row>6</xdr:row>
      <xdr:rowOff>16565</xdr:rowOff>
    </xdr:from>
    <xdr:to>
      <xdr:col>17</xdr:col>
      <xdr:colOff>452193</xdr:colOff>
      <xdr:row>8</xdr:row>
      <xdr:rowOff>99392</xdr:rowOff>
    </xdr:to>
    <xdr:sp macro="[0]!ImportTrackingToolCode" textlink="">
      <xdr:nvSpPr>
        <xdr:cNvPr id="4" name="Rechteck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121848" y="1126435"/>
          <a:ext cx="1694584" cy="44726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Import New TrackingTool Module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4</xdr:row>
      <xdr:rowOff>142875</xdr:rowOff>
    </xdr:from>
    <xdr:to>
      <xdr:col>7</xdr:col>
      <xdr:colOff>390525</xdr:colOff>
      <xdr:row>6</xdr:row>
      <xdr:rowOff>47625</xdr:rowOff>
    </xdr:to>
    <xdr:sp macro="[0]!Change_in_all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70583" y="674961"/>
          <a:ext cx="1685925" cy="24633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050">
              <a:solidFill>
                <a:sysClr val="windowText" lastClr="000000"/>
              </a:solidFill>
            </a:rPr>
            <a:t>Change for</a:t>
          </a:r>
          <a:r>
            <a:rPr lang="de-DE" sz="1050" baseline="0">
              <a:solidFill>
                <a:sysClr val="windowText" lastClr="000000"/>
              </a:solidFill>
            </a:rPr>
            <a:t> all Locations</a:t>
          </a:r>
        </a:p>
      </xdr:txBody>
    </xdr:sp>
    <xdr:clientData/>
  </xdr:twoCellAnchor>
  <xdr:twoCellAnchor>
    <xdr:from>
      <xdr:col>5</xdr:col>
      <xdr:colOff>238125</xdr:colOff>
      <xdr:row>10</xdr:row>
      <xdr:rowOff>114300</xdr:rowOff>
    </xdr:from>
    <xdr:to>
      <xdr:col>7</xdr:col>
      <xdr:colOff>400050</xdr:colOff>
      <xdr:row>12</xdr:row>
      <xdr:rowOff>19050</xdr:rowOff>
    </xdr:to>
    <xdr:sp macro="[0]!Change_in_one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7150" y="3371850"/>
          <a:ext cx="1685925" cy="2476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050">
              <a:solidFill>
                <a:sysClr val="windowText" lastClr="000000"/>
              </a:solidFill>
            </a:rPr>
            <a:t>Change in</a:t>
          </a:r>
          <a:r>
            <a:rPr lang="de-DE" sz="1050" baseline="0">
              <a:solidFill>
                <a:sysClr val="windowText" lastClr="000000"/>
              </a:solidFill>
            </a:rPr>
            <a:t> Location</a:t>
          </a:r>
        </a:p>
      </xdr:txBody>
    </xdr:sp>
    <xdr:clientData/>
  </xdr:twoCellAnchor>
  <xdr:twoCellAnchor>
    <xdr:from>
      <xdr:col>2</xdr:col>
      <xdr:colOff>69273</xdr:colOff>
      <xdr:row>17</xdr:row>
      <xdr:rowOff>34635</xdr:rowOff>
    </xdr:from>
    <xdr:to>
      <xdr:col>3</xdr:col>
      <xdr:colOff>369744</xdr:colOff>
      <xdr:row>18</xdr:row>
      <xdr:rowOff>121226</xdr:rowOff>
    </xdr:to>
    <xdr:sp macro="[0]!Send_to_location" textlink="">
      <xdr:nvSpPr>
        <xdr:cNvPr id="7" name="Rechteck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23323" y="2828635"/>
          <a:ext cx="1691121" cy="25169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050" baseline="0">
              <a:solidFill>
                <a:sysClr val="windowText" lastClr="000000"/>
              </a:solidFill>
            </a:rPr>
            <a:t>Send status Email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195793</xdr:colOff>
      <xdr:row>11</xdr:row>
      <xdr:rowOff>238001</xdr:rowOff>
    </xdr:from>
    <xdr:to>
      <xdr:col>23</xdr:col>
      <xdr:colOff>550332</xdr:colOff>
      <xdr:row>49</xdr:row>
      <xdr:rowOff>31757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196816</xdr:colOff>
      <xdr:row>1</xdr:row>
      <xdr:rowOff>4161</xdr:rowOff>
    </xdr:from>
    <xdr:ext cx="3263935" cy="3350756"/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1</xdr:col>
      <xdr:colOff>109341</xdr:colOff>
      <xdr:row>22</xdr:row>
      <xdr:rowOff>171015</xdr:rowOff>
    </xdr:from>
    <xdr:to>
      <xdr:col>7</xdr:col>
      <xdr:colOff>296334</xdr:colOff>
      <xdr:row>36</xdr:row>
      <xdr:rowOff>95254</xdr:rowOff>
    </xdr:to>
    <xdr:graphicFrame macro="">
      <xdr:nvGraphicFramePr>
        <xdr:cNvPr id="90" name="Chart 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85496</xdr:colOff>
      <xdr:row>1</xdr:row>
      <xdr:rowOff>242822</xdr:rowOff>
    </xdr:from>
    <xdr:to>
      <xdr:col>23</xdr:col>
      <xdr:colOff>508001</xdr:colOff>
      <xdr:row>11</xdr:row>
      <xdr:rowOff>67632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586559" y="504760"/>
          <a:ext cx="10078473" cy="2718028"/>
          <a:chOff x="9660383" y="781056"/>
          <a:chExt cx="10813856" cy="2682310"/>
        </a:xfrm>
      </xdr:grpSpPr>
      <xdr:graphicFrame macro="">
        <xdr:nvGraphicFramePr>
          <xdr:cNvPr id="63" name="Chart 14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GraphicFramePr/>
        </xdr:nvGraphicFramePr>
        <xdr:xfrm>
          <a:off x="9660383" y="793196"/>
          <a:ext cx="2341869" cy="26701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85" name="Chart 1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GraphicFramePr>
            <a:graphicFrameLocks/>
          </xdr:cNvGraphicFramePr>
        </xdr:nvGraphicFramePr>
        <xdr:xfrm>
          <a:off x="11779994" y="793196"/>
          <a:ext cx="2341869" cy="26701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6" name="Chart 14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GraphicFramePr>
            <a:graphicFrameLocks/>
          </xdr:cNvGraphicFramePr>
        </xdr:nvGraphicFramePr>
        <xdr:xfrm>
          <a:off x="13899605" y="793196"/>
          <a:ext cx="2341868" cy="26701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3" name="Chart 14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aphicFramePr>
            <a:graphicFrameLocks/>
          </xdr:cNvGraphicFramePr>
        </xdr:nvGraphicFramePr>
        <xdr:xfrm>
          <a:off x="16019215" y="793302"/>
          <a:ext cx="2340001" cy="26700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4" name="Chart 14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aphicFramePr>
            <a:graphicFrameLocks/>
          </xdr:cNvGraphicFramePr>
        </xdr:nvGraphicFramePr>
        <xdr:xfrm>
          <a:off x="18136960" y="781056"/>
          <a:ext cx="2337279" cy="26823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642937</xdr:colOff>
      <xdr:row>4</xdr:row>
      <xdr:rowOff>7937</xdr:rowOff>
    </xdr:from>
    <xdr:to>
      <xdr:col>7</xdr:col>
      <xdr:colOff>51521</xdr:colOff>
      <xdr:row>5</xdr:row>
      <xdr:rowOff>100301</xdr:rowOff>
    </xdr:to>
    <xdr:sp macro="[0]!importFromOutlook" textlink="">
      <xdr:nvSpPr>
        <xdr:cNvPr id="4" name="Rechteck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754812" y="642937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Import from Outlook</a:t>
          </a:r>
        </a:p>
      </xdr:txBody>
    </xdr:sp>
    <xdr:clientData/>
  </xdr:twoCellAnchor>
  <xdr:twoCellAnchor>
    <xdr:from>
      <xdr:col>4</xdr:col>
      <xdr:colOff>644524</xdr:colOff>
      <xdr:row>8</xdr:row>
      <xdr:rowOff>120649</xdr:rowOff>
    </xdr:from>
    <xdr:to>
      <xdr:col>7</xdr:col>
      <xdr:colOff>53108</xdr:colOff>
      <xdr:row>10</xdr:row>
      <xdr:rowOff>54263</xdr:rowOff>
    </xdr:to>
    <xdr:sp macro="[0]!startAutomaticImport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56399" y="1390649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Automatic Import ON</a:t>
          </a:r>
        </a:p>
      </xdr:txBody>
    </xdr:sp>
    <xdr:clientData/>
  </xdr:twoCellAnchor>
  <xdr:twoCellAnchor>
    <xdr:from>
      <xdr:col>7</xdr:col>
      <xdr:colOff>273049</xdr:colOff>
      <xdr:row>8</xdr:row>
      <xdr:rowOff>114299</xdr:rowOff>
    </xdr:from>
    <xdr:to>
      <xdr:col>9</xdr:col>
      <xdr:colOff>443633</xdr:colOff>
      <xdr:row>10</xdr:row>
      <xdr:rowOff>47913</xdr:rowOff>
    </xdr:to>
    <xdr:sp macro="[0]!stopAutomaticImport" textlink="">
      <xdr:nvSpPr>
        <xdr:cNvPr id="6" name="Rechteck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670924" y="1384299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Automatic Import OFF</a:t>
          </a:r>
        </a:p>
      </xdr:txBody>
    </xdr:sp>
    <xdr:clientData/>
  </xdr:twoCellAnchor>
  <xdr:twoCellAnchor>
    <xdr:from>
      <xdr:col>7</xdr:col>
      <xdr:colOff>285750</xdr:colOff>
      <xdr:row>4</xdr:row>
      <xdr:rowOff>15873</xdr:rowOff>
    </xdr:from>
    <xdr:to>
      <xdr:col>9</xdr:col>
      <xdr:colOff>456334</xdr:colOff>
      <xdr:row>5</xdr:row>
      <xdr:rowOff>108237</xdr:rowOff>
    </xdr:to>
    <xdr:sp macro="[0]!ApplyOutlookImportedIDs" textlink="">
      <xdr:nvSpPr>
        <xdr:cNvPr id="7" name="Rechteck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683625" y="650873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Re-apply IDs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0</xdr:row>
          <xdr:rowOff>152400</xdr:rowOff>
        </xdr:from>
        <xdr:to>
          <xdr:col>13</xdr:col>
          <xdr:colOff>628650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Tracking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27</xdr:row>
      <xdr:rowOff>0</xdr:rowOff>
    </xdr:from>
    <xdr:to>
      <xdr:col>0</xdr:col>
      <xdr:colOff>2399434</xdr:colOff>
      <xdr:row>28</xdr:row>
      <xdr:rowOff>89189</xdr:rowOff>
    </xdr:to>
    <xdr:sp macro="[0]!Button_Tracking_Reset" textlink="">
      <xdr:nvSpPr>
        <xdr:cNvPr id="4" name="Rechteck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04850" y="4371975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Reset Tracking</a:t>
          </a:r>
        </a:p>
      </xdr:txBody>
    </xdr:sp>
    <xdr:clientData/>
  </xdr:twoCellAnchor>
  <xdr:twoCellAnchor>
    <xdr:from>
      <xdr:col>0</xdr:col>
      <xdr:colOff>695325</xdr:colOff>
      <xdr:row>30</xdr:row>
      <xdr:rowOff>57150</xdr:rowOff>
    </xdr:from>
    <xdr:to>
      <xdr:col>0</xdr:col>
      <xdr:colOff>2389909</xdr:colOff>
      <xdr:row>31</xdr:row>
      <xdr:rowOff>146339</xdr:rowOff>
    </xdr:to>
    <xdr:sp macro="[0]!Button_Tool_Reset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95325" y="4914900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Delete All Data</a:t>
          </a:r>
        </a:p>
      </xdr:txBody>
    </xdr:sp>
    <xdr:clientData/>
  </xdr:twoCellAnchor>
  <xdr:twoCellAnchor>
    <xdr:from>
      <xdr:col>0</xdr:col>
      <xdr:colOff>723900</xdr:colOff>
      <xdr:row>23</xdr:row>
      <xdr:rowOff>57150</xdr:rowOff>
    </xdr:from>
    <xdr:to>
      <xdr:col>0</xdr:col>
      <xdr:colOff>2418484</xdr:colOff>
      <xdr:row>24</xdr:row>
      <xdr:rowOff>146339</xdr:rowOff>
    </xdr:to>
    <xdr:sp macro="[0]!Create" textlink="">
      <xdr:nvSpPr>
        <xdr:cNvPr id="6" name="Rechteck 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723900" y="3781425"/>
          <a:ext cx="1694584" cy="2511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aseline="0">
              <a:solidFill>
                <a:sysClr val="windowText" lastClr="000000"/>
              </a:solidFill>
            </a:rPr>
            <a:t>Update Data</a:t>
          </a:r>
        </a:p>
        <a:p>
          <a:pPr algn="ctr"/>
          <a:endParaRPr lang="de-DE" sz="1100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161925</xdr:colOff>
      <xdr:row>4</xdr:row>
      <xdr:rowOff>104775</xdr:rowOff>
    </xdr:from>
    <xdr:to>
      <xdr:col>33</xdr:col>
      <xdr:colOff>561975</xdr:colOff>
      <xdr:row>23</xdr:row>
      <xdr:rowOff>19050</xdr:rowOff>
    </xdr:to>
    <xdr:graphicFrame macro="">
      <xdr:nvGraphicFramePr>
        <xdr:cNvPr id="11" name="Chart 1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257175</xdr:colOff>
      <xdr:row>3</xdr:row>
      <xdr:rowOff>47625</xdr:rowOff>
    </xdr:from>
    <xdr:to>
      <xdr:col>19</xdr:col>
      <xdr:colOff>356392</xdr:colOff>
      <xdr:row>27</xdr:row>
      <xdr:rowOff>29669</xdr:rowOff>
    </xdr:to>
    <xdr:graphicFrame macro="">
      <xdr:nvGraphicFramePr>
        <xdr:cNvPr id="24" name="Chart 6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219075</xdr:colOff>
      <xdr:row>2</xdr:row>
      <xdr:rowOff>209550</xdr:rowOff>
    </xdr:from>
    <xdr:to>
      <xdr:col>18</xdr:col>
      <xdr:colOff>318292</xdr:colOff>
      <xdr:row>26</xdr:row>
      <xdr:rowOff>20144</xdr:rowOff>
    </xdr:to>
    <xdr:graphicFrame macro="">
      <xdr:nvGraphicFramePr>
        <xdr:cNvPr id="29" name="Chart 6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266700</xdr:colOff>
      <xdr:row>26</xdr:row>
      <xdr:rowOff>19050</xdr:rowOff>
    </xdr:from>
    <xdr:to>
      <xdr:col>23</xdr:col>
      <xdr:colOff>209250</xdr:colOff>
      <xdr:row>75</xdr:row>
      <xdr:rowOff>83600</xdr:rowOff>
    </xdr:to>
    <xdr:graphicFrame macro="">
      <xdr:nvGraphicFramePr>
        <xdr:cNvPr id="34" name="Chart 2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381000</xdr:colOff>
      <xdr:row>5</xdr:row>
      <xdr:rowOff>38100</xdr:rowOff>
    </xdr:from>
    <xdr:to>
      <xdr:col>27</xdr:col>
      <xdr:colOff>590706</xdr:colOff>
      <xdr:row>23</xdr:row>
      <xdr:rowOff>216929</xdr:rowOff>
    </xdr:to>
    <xdr:graphicFrame macro="">
      <xdr:nvGraphicFramePr>
        <xdr:cNvPr id="35" name="Chart 9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 Nguyen" refreshedDate="43020.520321296295" createdVersion="6" refreshedVersion="6" minRefreshableVersion="3" recordCount="402">
  <cacheSource type="worksheet">
    <worksheetSource ref="A1:E701" sheet="Tracking"/>
  </cacheSource>
  <cacheFields count="6">
    <cacheField name="Location" numFmtId="0">
      <sharedItems containsBlank="1" count="6">
        <s v="GERMANY"/>
        <s v="UK"/>
        <s v="USA"/>
        <s v="CHINA"/>
        <s v="RUSSIA"/>
        <m/>
      </sharedItems>
    </cacheField>
    <cacheField name="Work Package" numFmtId="0">
      <sharedItems containsBlank="1"/>
    </cacheField>
    <cacheField name="Action" numFmtId="0">
      <sharedItems containsBlank="1" count="9">
        <s v="to be started"/>
        <s v="released"/>
        <s v="in progress"/>
        <s v="completed"/>
        <s v="evidence provided"/>
        <m/>
        <s v="ready" u="1"/>
        <s v="over-due" u="1"/>
        <s v="escalation needed" u="1"/>
      </sharedItems>
    </cacheField>
    <cacheField name="ID" numFmtId="0">
      <sharedItems containsBlank="1"/>
    </cacheField>
    <cacheField name="Status" numFmtId="0">
      <sharedItems containsBlank="1" count="3">
        <s v="Active"/>
        <s v="Inactive"/>
        <m/>
      </sharedItems>
    </cacheField>
    <cacheField name="Aggregate" numFmtId="0" formula="Status+Statu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iel Nguyen" refreshedDate="43020.520321875003" createdVersion="6" refreshedVersion="6" minRefreshableVersion="3" recordCount="402">
  <cacheSource type="worksheet">
    <worksheetSource ref="A1:E666" sheet="Tracking"/>
  </cacheSource>
  <cacheFields count="6">
    <cacheField name="Location" numFmtId="0">
      <sharedItems containsBlank="1"/>
    </cacheField>
    <cacheField name="Work Package" numFmtId="0">
      <sharedItems containsBlank="1" count="37">
        <s v="PM-CMPS Identify Compromised Systems"/>
        <s v="PM-REBS Rebuild Servers"/>
        <s v="PM-REBC Rebuild Clients"/>
        <s v="PM-PWCC Password Change for Privileged Local Accounts"/>
        <s v="PM-KTGT Kerberos TGT Reset"/>
        <s v="PM-BLKI Block Internet Connection"/>
        <s v="PM-BLKS Block System-To-System Connection"/>
        <s v="PM-BLIP IP Blacklisting"/>
        <s v="PM-RMAC Replace RAT"/>
        <s v="PM-SHDN Sinkhole Domain Names"/>
        <s v="PM-PWCE Enterprise Password Change"/>
        <s v="PM-ESAE Implement ESAE"/>
        <s v="PM-WHIT Application Whitelisting on DCs"/>
        <s v="PM-MVUL Scan for vulnerable Middleware components"/>
        <s v="PM-MHRD Middleware hardening"/>
        <s v="PM-AWRN: Awareness"/>
        <m/>
        <s v="Business Impact Analysis" u="1"/>
        <s v="Betroffenen Applikationen" u="1"/>
        <s v="Erfassung kompromittierter Systeme" u="1"/>
        <s v="Temporäre Accounts" u="1"/>
        <s v="GRR rollout" u="1"/>
        <s v="LAPS implementieren" u="1"/>
        <s v="Bereinigung im Vorfeld und QA" u="1"/>
        <s v="AD Reset vorbereiten" u="1"/>
        <s v="Netzwerktrennung Planung" u="1"/>
        <s v="Project plan" u="1"/>
        <s v="Zentrales Logging" u="1"/>
        <s v="Sicherheitslücken beheben" u="1"/>
        <s v="Netzwerk Monitoring" u="1"/>
        <s v="Vorbereitung Neuinstallation" u="1"/>
        <s v="TESTING" u="1"/>
        <s v="THOR-Scan" u="1"/>
        <s v="Testreboot" u="1"/>
        <s v="AD Härtungsmaßnahmen vorbereiten" u="1"/>
        <s v="Sysmon rollout" u="1"/>
        <s v="Sicherheitstests" u="1"/>
      </sharedItems>
    </cacheField>
    <cacheField name="Action" numFmtId="0">
      <sharedItems containsBlank="1" count="10">
        <s v="to be started"/>
        <s v="released"/>
        <s v="in progress"/>
        <s v="completed"/>
        <s v="evidence provided"/>
        <m/>
        <s v="ready" u="1"/>
        <s v="over-due" u="1"/>
        <s v="received" u="1"/>
        <s v="escalation needed" u="1"/>
      </sharedItems>
    </cacheField>
    <cacheField name="ID" numFmtId="0">
      <sharedItems containsBlank="1"/>
    </cacheField>
    <cacheField name="Status" numFmtId="0">
      <sharedItems containsBlank="1" count="3">
        <s v="Active"/>
        <s v="Inactive"/>
        <m/>
      </sharedItems>
    </cacheField>
    <cacheField name="Aggregate" numFmtId="0" formula="Status+Statu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2">
  <r>
    <x v="0"/>
    <s v="PM-CMPS Identify Compromised Systems"/>
    <x v="0"/>
    <s v="010101"/>
    <x v="0"/>
  </r>
  <r>
    <x v="0"/>
    <s v="PM-CMPS Identify Compromised Systems"/>
    <x v="1"/>
    <s v="010102"/>
    <x v="1"/>
  </r>
  <r>
    <x v="0"/>
    <s v="PM-CMPS Identify Compromised Systems"/>
    <x v="2"/>
    <s v="010103"/>
    <x v="1"/>
  </r>
  <r>
    <x v="0"/>
    <s v="PM-CMPS Identify Compromised Systems"/>
    <x v="3"/>
    <s v="010104"/>
    <x v="1"/>
  </r>
  <r>
    <x v="0"/>
    <s v="PM-CMPS Identify Compromised Systems"/>
    <x v="4"/>
    <s v="010105"/>
    <x v="1"/>
  </r>
  <r>
    <x v="0"/>
    <s v="PM-REBS Rebuild Servers"/>
    <x v="0"/>
    <s v="010201"/>
    <x v="0"/>
  </r>
  <r>
    <x v="0"/>
    <s v="PM-REBS Rebuild Servers"/>
    <x v="1"/>
    <s v="010202"/>
    <x v="1"/>
  </r>
  <r>
    <x v="0"/>
    <s v="PM-REBS Rebuild Servers"/>
    <x v="2"/>
    <s v="010203"/>
    <x v="1"/>
  </r>
  <r>
    <x v="0"/>
    <s v="PM-REBS Rebuild Servers"/>
    <x v="3"/>
    <s v="010204"/>
    <x v="1"/>
  </r>
  <r>
    <x v="0"/>
    <s v="PM-REBS Rebuild Servers"/>
    <x v="4"/>
    <s v="010205"/>
    <x v="1"/>
  </r>
  <r>
    <x v="0"/>
    <s v="PM-REBC Rebuild Clients"/>
    <x v="0"/>
    <s v="010301"/>
    <x v="0"/>
  </r>
  <r>
    <x v="0"/>
    <s v="PM-REBC Rebuild Clients"/>
    <x v="1"/>
    <s v="010302"/>
    <x v="1"/>
  </r>
  <r>
    <x v="0"/>
    <s v="PM-REBC Rebuild Clients"/>
    <x v="2"/>
    <s v="010303"/>
    <x v="1"/>
  </r>
  <r>
    <x v="0"/>
    <s v="PM-REBC Rebuild Clients"/>
    <x v="3"/>
    <s v="010304"/>
    <x v="1"/>
  </r>
  <r>
    <x v="0"/>
    <s v="PM-REBC Rebuild Clients"/>
    <x v="4"/>
    <s v="010305"/>
    <x v="1"/>
  </r>
  <r>
    <x v="0"/>
    <s v="PM-PWCC Password Change for Privileged Local Accounts"/>
    <x v="0"/>
    <s v="010401"/>
    <x v="0"/>
  </r>
  <r>
    <x v="0"/>
    <s v="PM-PWCC Password Change for Privileged Local Accounts"/>
    <x v="1"/>
    <s v="010402"/>
    <x v="1"/>
  </r>
  <r>
    <x v="0"/>
    <s v="PM-PWCC Password Change for Privileged Local Accounts"/>
    <x v="2"/>
    <s v="010403"/>
    <x v="1"/>
  </r>
  <r>
    <x v="0"/>
    <s v="PM-PWCC Password Change for Privileged Local Accounts"/>
    <x v="3"/>
    <s v="010404"/>
    <x v="1"/>
  </r>
  <r>
    <x v="0"/>
    <s v="PM-PWCC Password Change for Privileged Local Accounts"/>
    <x v="4"/>
    <s v="010405"/>
    <x v="1"/>
  </r>
  <r>
    <x v="0"/>
    <s v="PM-KTGT Kerberos TGT Reset"/>
    <x v="0"/>
    <s v="010501"/>
    <x v="0"/>
  </r>
  <r>
    <x v="0"/>
    <s v="PM-KTGT Kerberos TGT Reset"/>
    <x v="1"/>
    <s v="010502"/>
    <x v="1"/>
  </r>
  <r>
    <x v="0"/>
    <s v="PM-KTGT Kerberos TGT Reset"/>
    <x v="2"/>
    <s v="010503"/>
    <x v="1"/>
  </r>
  <r>
    <x v="0"/>
    <s v="PM-KTGT Kerberos TGT Reset"/>
    <x v="3"/>
    <s v="010504"/>
    <x v="1"/>
  </r>
  <r>
    <x v="0"/>
    <s v="PM-KTGT Kerberos TGT Reset"/>
    <x v="4"/>
    <s v="010505"/>
    <x v="1"/>
  </r>
  <r>
    <x v="0"/>
    <s v="PM-BLKI Block Internet Connection"/>
    <x v="0"/>
    <s v="010601"/>
    <x v="0"/>
  </r>
  <r>
    <x v="0"/>
    <s v="PM-BLKI Block Internet Connection"/>
    <x v="1"/>
    <s v="010602"/>
    <x v="1"/>
  </r>
  <r>
    <x v="0"/>
    <s v="PM-BLKI Block Internet Connection"/>
    <x v="2"/>
    <s v="010603"/>
    <x v="1"/>
  </r>
  <r>
    <x v="0"/>
    <s v="PM-BLKI Block Internet Connection"/>
    <x v="3"/>
    <s v="010604"/>
    <x v="1"/>
  </r>
  <r>
    <x v="0"/>
    <s v="PM-BLKI Block Internet Connection"/>
    <x v="4"/>
    <s v="010605"/>
    <x v="1"/>
  </r>
  <r>
    <x v="0"/>
    <s v="PM-BLKS Block System-To-System Connection"/>
    <x v="0"/>
    <s v="010701"/>
    <x v="0"/>
  </r>
  <r>
    <x v="0"/>
    <s v="PM-BLKS Block System-To-System Connection"/>
    <x v="1"/>
    <s v="010702"/>
    <x v="1"/>
  </r>
  <r>
    <x v="0"/>
    <s v="PM-BLKS Block System-To-System Connection"/>
    <x v="2"/>
    <s v="010703"/>
    <x v="1"/>
  </r>
  <r>
    <x v="0"/>
    <s v="PM-BLKS Block System-To-System Connection"/>
    <x v="3"/>
    <s v="010704"/>
    <x v="1"/>
  </r>
  <r>
    <x v="0"/>
    <s v="PM-BLKS Block System-To-System Connection"/>
    <x v="4"/>
    <s v="010705"/>
    <x v="1"/>
  </r>
  <r>
    <x v="0"/>
    <s v="PM-BLIP IP Blacklisting"/>
    <x v="0"/>
    <s v="010801"/>
    <x v="0"/>
  </r>
  <r>
    <x v="0"/>
    <s v="PM-BLIP IP Blacklisting"/>
    <x v="1"/>
    <s v="010802"/>
    <x v="1"/>
  </r>
  <r>
    <x v="0"/>
    <s v="PM-BLIP IP Blacklisting"/>
    <x v="2"/>
    <s v="010803"/>
    <x v="1"/>
  </r>
  <r>
    <x v="0"/>
    <s v="PM-BLIP IP Blacklisting"/>
    <x v="3"/>
    <s v="010804"/>
    <x v="1"/>
  </r>
  <r>
    <x v="0"/>
    <s v="PM-BLIP IP Blacklisting"/>
    <x v="4"/>
    <s v="010805"/>
    <x v="1"/>
  </r>
  <r>
    <x v="0"/>
    <s v="PM-RMAC Replace RAT"/>
    <x v="0"/>
    <s v="010901"/>
    <x v="0"/>
  </r>
  <r>
    <x v="0"/>
    <s v="PM-RMAC Replace RAT"/>
    <x v="1"/>
    <s v="010902"/>
    <x v="1"/>
  </r>
  <r>
    <x v="0"/>
    <s v="PM-RMAC Replace RAT"/>
    <x v="2"/>
    <s v="010903"/>
    <x v="1"/>
  </r>
  <r>
    <x v="0"/>
    <s v="PM-RMAC Replace RAT"/>
    <x v="3"/>
    <s v="010904"/>
    <x v="1"/>
  </r>
  <r>
    <x v="0"/>
    <s v="PM-RMAC Replace RAT"/>
    <x v="4"/>
    <s v="010905"/>
    <x v="1"/>
  </r>
  <r>
    <x v="0"/>
    <s v="PM-SHDN Sinkhole Domain Names"/>
    <x v="0"/>
    <s v="011001"/>
    <x v="0"/>
  </r>
  <r>
    <x v="0"/>
    <s v="PM-SHDN Sinkhole Domain Names"/>
    <x v="1"/>
    <s v="011002"/>
    <x v="1"/>
  </r>
  <r>
    <x v="0"/>
    <s v="PM-SHDN Sinkhole Domain Names"/>
    <x v="2"/>
    <s v="011003"/>
    <x v="1"/>
  </r>
  <r>
    <x v="0"/>
    <s v="PM-SHDN Sinkhole Domain Names"/>
    <x v="3"/>
    <s v="011004"/>
    <x v="1"/>
  </r>
  <r>
    <x v="0"/>
    <s v="PM-SHDN Sinkhole Domain Names"/>
    <x v="4"/>
    <s v="011005"/>
    <x v="1"/>
  </r>
  <r>
    <x v="0"/>
    <s v="PM-PWCE Enterprise Password Change"/>
    <x v="0"/>
    <s v="011101"/>
    <x v="0"/>
  </r>
  <r>
    <x v="0"/>
    <s v="PM-PWCE Enterprise Password Change"/>
    <x v="1"/>
    <s v="011102"/>
    <x v="1"/>
  </r>
  <r>
    <x v="0"/>
    <s v="PM-PWCE Enterprise Password Change"/>
    <x v="2"/>
    <s v="011103"/>
    <x v="1"/>
  </r>
  <r>
    <x v="0"/>
    <s v="PM-PWCE Enterprise Password Change"/>
    <x v="3"/>
    <s v="011104"/>
    <x v="1"/>
  </r>
  <r>
    <x v="0"/>
    <s v="PM-PWCE Enterprise Password Change"/>
    <x v="4"/>
    <s v="011105"/>
    <x v="1"/>
  </r>
  <r>
    <x v="0"/>
    <s v="PM-ESAE Implement ESAE"/>
    <x v="0"/>
    <s v="011201"/>
    <x v="0"/>
  </r>
  <r>
    <x v="0"/>
    <s v="PM-ESAE Implement ESAE"/>
    <x v="1"/>
    <s v="011202"/>
    <x v="1"/>
  </r>
  <r>
    <x v="0"/>
    <s v="PM-ESAE Implement ESAE"/>
    <x v="2"/>
    <s v="011203"/>
    <x v="1"/>
  </r>
  <r>
    <x v="0"/>
    <s v="PM-ESAE Implement ESAE"/>
    <x v="3"/>
    <s v="011204"/>
    <x v="1"/>
  </r>
  <r>
    <x v="0"/>
    <s v="PM-ESAE Implement ESAE"/>
    <x v="4"/>
    <s v="011205"/>
    <x v="1"/>
  </r>
  <r>
    <x v="0"/>
    <s v="PM-WHIT Application Whitelisting on DCs"/>
    <x v="0"/>
    <s v="011301"/>
    <x v="0"/>
  </r>
  <r>
    <x v="0"/>
    <s v="PM-WHIT Application Whitelisting on DCs"/>
    <x v="1"/>
    <s v="011302"/>
    <x v="1"/>
  </r>
  <r>
    <x v="0"/>
    <s v="PM-WHIT Application Whitelisting on DCs"/>
    <x v="2"/>
    <s v="011303"/>
    <x v="1"/>
  </r>
  <r>
    <x v="0"/>
    <s v="PM-WHIT Application Whitelisting on DCs"/>
    <x v="3"/>
    <s v="011304"/>
    <x v="1"/>
  </r>
  <r>
    <x v="0"/>
    <s v="PM-WHIT Application Whitelisting on DCs"/>
    <x v="4"/>
    <s v="011305"/>
    <x v="1"/>
  </r>
  <r>
    <x v="0"/>
    <s v="PM-MVUL Scan for vulnerable Middleware components"/>
    <x v="0"/>
    <s v="011401"/>
    <x v="0"/>
  </r>
  <r>
    <x v="0"/>
    <s v="PM-MVUL Scan for vulnerable Middleware components"/>
    <x v="1"/>
    <s v="011402"/>
    <x v="1"/>
  </r>
  <r>
    <x v="0"/>
    <s v="PM-MVUL Scan for vulnerable Middleware components"/>
    <x v="2"/>
    <s v="011403"/>
    <x v="1"/>
  </r>
  <r>
    <x v="0"/>
    <s v="PM-MVUL Scan for vulnerable Middleware components"/>
    <x v="3"/>
    <s v="011404"/>
    <x v="1"/>
  </r>
  <r>
    <x v="0"/>
    <s v="PM-MVUL Scan for vulnerable Middleware components"/>
    <x v="4"/>
    <s v="011405"/>
    <x v="1"/>
  </r>
  <r>
    <x v="0"/>
    <s v="PM-MHRD Middleware hardening"/>
    <x v="0"/>
    <s v="011501"/>
    <x v="0"/>
  </r>
  <r>
    <x v="0"/>
    <s v="PM-MHRD Middleware hardening"/>
    <x v="1"/>
    <s v="011502"/>
    <x v="1"/>
  </r>
  <r>
    <x v="0"/>
    <s v="PM-MHRD Middleware hardening"/>
    <x v="2"/>
    <s v="011503"/>
    <x v="1"/>
  </r>
  <r>
    <x v="0"/>
    <s v="PM-MHRD Middleware hardening"/>
    <x v="3"/>
    <s v="011504"/>
    <x v="1"/>
  </r>
  <r>
    <x v="0"/>
    <s v="PM-MHRD Middleware hardening"/>
    <x v="4"/>
    <s v="011505"/>
    <x v="1"/>
  </r>
  <r>
    <x v="0"/>
    <s v="PM-AWRN: Awareness"/>
    <x v="0"/>
    <s v="011601"/>
    <x v="0"/>
  </r>
  <r>
    <x v="0"/>
    <s v="PM-AWRN: Awareness"/>
    <x v="1"/>
    <s v="011602"/>
    <x v="1"/>
  </r>
  <r>
    <x v="0"/>
    <s v="PM-AWRN: Awareness"/>
    <x v="2"/>
    <s v="011603"/>
    <x v="1"/>
  </r>
  <r>
    <x v="0"/>
    <s v="PM-AWRN: Awareness"/>
    <x v="3"/>
    <s v="011604"/>
    <x v="1"/>
  </r>
  <r>
    <x v="0"/>
    <s v="PM-AWRN: Awareness"/>
    <x v="4"/>
    <s v="011605"/>
    <x v="1"/>
  </r>
  <r>
    <x v="1"/>
    <s v="PM-CMPS Identify Compromised Systems"/>
    <x v="0"/>
    <s v="020101"/>
    <x v="0"/>
  </r>
  <r>
    <x v="1"/>
    <s v="PM-CMPS Identify Compromised Systems"/>
    <x v="1"/>
    <s v="020102"/>
    <x v="1"/>
  </r>
  <r>
    <x v="1"/>
    <s v="PM-CMPS Identify Compromised Systems"/>
    <x v="2"/>
    <s v="020103"/>
    <x v="1"/>
  </r>
  <r>
    <x v="1"/>
    <s v="PM-CMPS Identify Compromised Systems"/>
    <x v="3"/>
    <s v="020104"/>
    <x v="1"/>
  </r>
  <r>
    <x v="1"/>
    <s v="PM-CMPS Identify Compromised Systems"/>
    <x v="4"/>
    <s v="020105"/>
    <x v="1"/>
  </r>
  <r>
    <x v="1"/>
    <s v="PM-REBS Rebuild Servers"/>
    <x v="0"/>
    <s v="020201"/>
    <x v="0"/>
  </r>
  <r>
    <x v="1"/>
    <s v="PM-REBS Rebuild Servers"/>
    <x v="1"/>
    <s v="020202"/>
    <x v="1"/>
  </r>
  <r>
    <x v="1"/>
    <s v="PM-REBS Rebuild Servers"/>
    <x v="2"/>
    <s v="020203"/>
    <x v="1"/>
  </r>
  <r>
    <x v="1"/>
    <s v="PM-REBS Rebuild Servers"/>
    <x v="3"/>
    <s v="020204"/>
    <x v="1"/>
  </r>
  <r>
    <x v="1"/>
    <s v="PM-REBS Rebuild Servers"/>
    <x v="4"/>
    <s v="020205"/>
    <x v="1"/>
  </r>
  <r>
    <x v="1"/>
    <s v="PM-REBC Rebuild Clients"/>
    <x v="0"/>
    <s v="020301"/>
    <x v="0"/>
  </r>
  <r>
    <x v="1"/>
    <s v="PM-REBC Rebuild Clients"/>
    <x v="1"/>
    <s v="020302"/>
    <x v="1"/>
  </r>
  <r>
    <x v="1"/>
    <s v="PM-REBC Rebuild Clients"/>
    <x v="2"/>
    <s v="020303"/>
    <x v="1"/>
  </r>
  <r>
    <x v="1"/>
    <s v="PM-REBC Rebuild Clients"/>
    <x v="3"/>
    <s v="020304"/>
    <x v="1"/>
  </r>
  <r>
    <x v="1"/>
    <s v="PM-REBC Rebuild Clients"/>
    <x v="4"/>
    <s v="020305"/>
    <x v="1"/>
  </r>
  <r>
    <x v="1"/>
    <s v="PM-PWCC Password Change for Privileged Local Accounts"/>
    <x v="0"/>
    <s v="020401"/>
    <x v="0"/>
  </r>
  <r>
    <x v="1"/>
    <s v="PM-PWCC Password Change for Privileged Local Accounts"/>
    <x v="1"/>
    <s v="020402"/>
    <x v="1"/>
  </r>
  <r>
    <x v="1"/>
    <s v="PM-PWCC Password Change for Privileged Local Accounts"/>
    <x v="2"/>
    <s v="020403"/>
    <x v="1"/>
  </r>
  <r>
    <x v="1"/>
    <s v="PM-PWCC Password Change for Privileged Local Accounts"/>
    <x v="3"/>
    <s v="020404"/>
    <x v="1"/>
  </r>
  <r>
    <x v="1"/>
    <s v="PM-PWCC Password Change for Privileged Local Accounts"/>
    <x v="4"/>
    <s v="020405"/>
    <x v="1"/>
  </r>
  <r>
    <x v="1"/>
    <s v="PM-KTGT Kerberos TGT Reset"/>
    <x v="0"/>
    <s v="020501"/>
    <x v="0"/>
  </r>
  <r>
    <x v="1"/>
    <s v="PM-KTGT Kerberos TGT Reset"/>
    <x v="1"/>
    <s v="020502"/>
    <x v="1"/>
  </r>
  <r>
    <x v="1"/>
    <s v="PM-KTGT Kerberos TGT Reset"/>
    <x v="2"/>
    <s v="020503"/>
    <x v="1"/>
  </r>
  <r>
    <x v="1"/>
    <s v="PM-KTGT Kerberos TGT Reset"/>
    <x v="3"/>
    <s v="020504"/>
    <x v="1"/>
  </r>
  <r>
    <x v="1"/>
    <s v="PM-KTGT Kerberos TGT Reset"/>
    <x v="4"/>
    <s v="020505"/>
    <x v="1"/>
  </r>
  <r>
    <x v="1"/>
    <s v="PM-BLKI Block Internet Connection"/>
    <x v="0"/>
    <s v="020601"/>
    <x v="0"/>
  </r>
  <r>
    <x v="1"/>
    <s v="PM-BLKI Block Internet Connection"/>
    <x v="1"/>
    <s v="020602"/>
    <x v="1"/>
  </r>
  <r>
    <x v="1"/>
    <s v="PM-BLKI Block Internet Connection"/>
    <x v="2"/>
    <s v="020603"/>
    <x v="1"/>
  </r>
  <r>
    <x v="1"/>
    <s v="PM-BLKI Block Internet Connection"/>
    <x v="3"/>
    <s v="020604"/>
    <x v="1"/>
  </r>
  <r>
    <x v="1"/>
    <s v="PM-BLKI Block Internet Connection"/>
    <x v="4"/>
    <s v="020605"/>
    <x v="1"/>
  </r>
  <r>
    <x v="1"/>
    <s v="PM-BLKS Block System-To-System Connection"/>
    <x v="0"/>
    <s v="020701"/>
    <x v="0"/>
  </r>
  <r>
    <x v="1"/>
    <s v="PM-BLKS Block System-To-System Connection"/>
    <x v="1"/>
    <s v="020702"/>
    <x v="1"/>
  </r>
  <r>
    <x v="1"/>
    <s v="PM-BLKS Block System-To-System Connection"/>
    <x v="2"/>
    <s v="020703"/>
    <x v="1"/>
  </r>
  <r>
    <x v="1"/>
    <s v="PM-BLKS Block System-To-System Connection"/>
    <x v="3"/>
    <s v="020704"/>
    <x v="1"/>
  </r>
  <r>
    <x v="1"/>
    <s v="PM-BLKS Block System-To-System Connection"/>
    <x v="4"/>
    <s v="020705"/>
    <x v="1"/>
  </r>
  <r>
    <x v="1"/>
    <s v="PM-BLIP IP Blacklisting"/>
    <x v="0"/>
    <s v="020801"/>
    <x v="0"/>
  </r>
  <r>
    <x v="1"/>
    <s v="PM-BLIP IP Blacklisting"/>
    <x v="1"/>
    <s v="020802"/>
    <x v="1"/>
  </r>
  <r>
    <x v="1"/>
    <s v="PM-BLIP IP Blacklisting"/>
    <x v="2"/>
    <s v="020803"/>
    <x v="1"/>
  </r>
  <r>
    <x v="1"/>
    <s v="PM-BLIP IP Blacklisting"/>
    <x v="3"/>
    <s v="020804"/>
    <x v="1"/>
  </r>
  <r>
    <x v="1"/>
    <s v="PM-BLIP IP Blacklisting"/>
    <x v="4"/>
    <s v="020805"/>
    <x v="1"/>
  </r>
  <r>
    <x v="1"/>
    <s v="PM-RMAC Replace RAT"/>
    <x v="0"/>
    <s v="020901"/>
    <x v="0"/>
  </r>
  <r>
    <x v="1"/>
    <s v="PM-RMAC Replace RAT"/>
    <x v="1"/>
    <s v="020902"/>
    <x v="1"/>
  </r>
  <r>
    <x v="1"/>
    <s v="PM-RMAC Replace RAT"/>
    <x v="2"/>
    <s v="020903"/>
    <x v="1"/>
  </r>
  <r>
    <x v="1"/>
    <s v="PM-RMAC Replace RAT"/>
    <x v="3"/>
    <s v="020904"/>
    <x v="1"/>
  </r>
  <r>
    <x v="1"/>
    <s v="PM-RMAC Replace RAT"/>
    <x v="4"/>
    <s v="020905"/>
    <x v="1"/>
  </r>
  <r>
    <x v="1"/>
    <s v="PM-SHDN Sinkhole Domain Names"/>
    <x v="0"/>
    <s v="021001"/>
    <x v="0"/>
  </r>
  <r>
    <x v="1"/>
    <s v="PM-SHDN Sinkhole Domain Names"/>
    <x v="1"/>
    <s v="021002"/>
    <x v="1"/>
  </r>
  <r>
    <x v="1"/>
    <s v="PM-SHDN Sinkhole Domain Names"/>
    <x v="2"/>
    <s v="021003"/>
    <x v="1"/>
  </r>
  <r>
    <x v="1"/>
    <s v="PM-SHDN Sinkhole Domain Names"/>
    <x v="3"/>
    <s v="021004"/>
    <x v="1"/>
  </r>
  <r>
    <x v="1"/>
    <s v="PM-SHDN Sinkhole Domain Names"/>
    <x v="4"/>
    <s v="021005"/>
    <x v="1"/>
  </r>
  <r>
    <x v="1"/>
    <s v="PM-PWCE Enterprise Password Change"/>
    <x v="0"/>
    <s v="021101"/>
    <x v="0"/>
  </r>
  <r>
    <x v="1"/>
    <s v="PM-PWCE Enterprise Password Change"/>
    <x v="1"/>
    <s v="021102"/>
    <x v="1"/>
  </r>
  <r>
    <x v="1"/>
    <s v="PM-PWCE Enterprise Password Change"/>
    <x v="2"/>
    <s v="021103"/>
    <x v="1"/>
  </r>
  <r>
    <x v="1"/>
    <s v="PM-PWCE Enterprise Password Change"/>
    <x v="3"/>
    <s v="021104"/>
    <x v="1"/>
  </r>
  <r>
    <x v="1"/>
    <s v="PM-PWCE Enterprise Password Change"/>
    <x v="4"/>
    <s v="021105"/>
    <x v="1"/>
  </r>
  <r>
    <x v="1"/>
    <s v="PM-ESAE Implement ESAE"/>
    <x v="0"/>
    <s v="021201"/>
    <x v="0"/>
  </r>
  <r>
    <x v="1"/>
    <s v="PM-ESAE Implement ESAE"/>
    <x v="1"/>
    <s v="021202"/>
    <x v="1"/>
  </r>
  <r>
    <x v="1"/>
    <s v="PM-ESAE Implement ESAE"/>
    <x v="2"/>
    <s v="021203"/>
    <x v="1"/>
  </r>
  <r>
    <x v="1"/>
    <s v="PM-ESAE Implement ESAE"/>
    <x v="3"/>
    <s v="021204"/>
    <x v="1"/>
  </r>
  <r>
    <x v="1"/>
    <s v="PM-ESAE Implement ESAE"/>
    <x v="4"/>
    <s v="021205"/>
    <x v="1"/>
  </r>
  <r>
    <x v="1"/>
    <s v="PM-WHIT Application Whitelisting on DCs"/>
    <x v="0"/>
    <s v="021301"/>
    <x v="0"/>
  </r>
  <r>
    <x v="1"/>
    <s v="PM-WHIT Application Whitelisting on DCs"/>
    <x v="1"/>
    <s v="021302"/>
    <x v="1"/>
  </r>
  <r>
    <x v="1"/>
    <s v="PM-WHIT Application Whitelisting on DCs"/>
    <x v="2"/>
    <s v="021303"/>
    <x v="1"/>
  </r>
  <r>
    <x v="1"/>
    <s v="PM-WHIT Application Whitelisting on DCs"/>
    <x v="3"/>
    <s v="021304"/>
    <x v="1"/>
  </r>
  <r>
    <x v="1"/>
    <s v="PM-WHIT Application Whitelisting on DCs"/>
    <x v="4"/>
    <s v="021305"/>
    <x v="1"/>
  </r>
  <r>
    <x v="1"/>
    <s v="PM-MVUL Scan for vulnerable Middleware components"/>
    <x v="0"/>
    <s v="021401"/>
    <x v="0"/>
  </r>
  <r>
    <x v="1"/>
    <s v="PM-MVUL Scan for vulnerable Middleware components"/>
    <x v="1"/>
    <s v="021402"/>
    <x v="1"/>
  </r>
  <r>
    <x v="1"/>
    <s v="PM-MVUL Scan for vulnerable Middleware components"/>
    <x v="2"/>
    <s v="021403"/>
    <x v="1"/>
  </r>
  <r>
    <x v="1"/>
    <s v="PM-MVUL Scan for vulnerable Middleware components"/>
    <x v="3"/>
    <s v="021404"/>
    <x v="1"/>
  </r>
  <r>
    <x v="1"/>
    <s v="PM-MVUL Scan for vulnerable Middleware components"/>
    <x v="4"/>
    <s v="021405"/>
    <x v="1"/>
  </r>
  <r>
    <x v="1"/>
    <s v="PM-MHRD Middleware hardening"/>
    <x v="0"/>
    <s v="021501"/>
    <x v="0"/>
  </r>
  <r>
    <x v="1"/>
    <s v="PM-MHRD Middleware hardening"/>
    <x v="1"/>
    <s v="021502"/>
    <x v="1"/>
  </r>
  <r>
    <x v="1"/>
    <s v="PM-MHRD Middleware hardening"/>
    <x v="2"/>
    <s v="021503"/>
    <x v="1"/>
  </r>
  <r>
    <x v="1"/>
    <s v="PM-MHRD Middleware hardening"/>
    <x v="3"/>
    <s v="021504"/>
    <x v="1"/>
  </r>
  <r>
    <x v="1"/>
    <s v="PM-MHRD Middleware hardening"/>
    <x v="4"/>
    <s v="021505"/>
    <x v="1"/>
  </r>
  <r>
    <x v="1"/>
    <s v="PM-AWRN: Awareness"/>
    <x v="0"/>
    <s v="021601"/>
    <x v="0"/>
  </r>
  <r>
    <x v="1"/>
    <s v="PM-AWRN: Awareness"/>
    <x v="1"/>
    <s v="021602"/>
    <x v="1"/>
  </r>
  <r>
    <x v="1"/>
    <s v="PM-AWRN: Awareness"/>
    <x v="2"/>
    <s v="021603"/>
    <x v="1"/>
  </r>
  <r>
    <x v="1"/>
    <s v="PM-AWRN: Awareness"/>
    <x v="3"/>
    <s v="021604"/>
    <x v="1"/>
  </r>
  <r>
    <x v="1"/>
    <s v="PM-AWRN: Awareness"/>
    <x v="4"/>
    <s v="021605"/>
    <x v="1"/>
  </r>
  <r>
    <x v="2"/>
    <s v="PM-CMPS Identify Compromised Systems"/>
    <x v="0"/>
    <s v="030101"/>
    <x v="0"/>
  </r>
  <r>
    <x v="2"/>
    <s v="PM-CMPS Identify Compromised Systems"/>
    <x v="1"/>
    <s v="030102"/>
    <x v="1"/>
  </r>
  <r>
    <x v="2"/>
    <s v="PM-CMPS Identify Compromised Systems"/>
    <x v="2"/>
    <s v="030103"/>
    <x v="1"/>
  </r>
  <r>
    <x v="2"/>
    <s v="PM-CMPS Identify Compromised Systems"/>
    <x v="3"/>
    <s v="030104"/>
    <x v="1"/>
  </r>
  <r>
    <x v="2"/>
    <s v="PM-CMPS Identify Compromised Systems"/>
    <x v="4"/>
    <s v="030105"/>
    <x v="1"/>
  </r>
  <r>
    <x v="2"/>
    <s v="PM-REBS Rebuild Servers"/>
    <x v="0"/>
    <s v="030201"/>
    <x v="0"/>
  </r>
  <r>
    <x v="2"/>
    <s v="PM-REBS Rebuild Servers"/>
    <x v="1"/>
    <s v="030202"/>
    <x v="1"/>
  </r>
  <r>
    <x v="2"/>
    <s v="PM-REBS Rebuild Servers"/>
    <x v="2"/>
    <s v="030203"/>
    <x v="1"/>
  </r>
  <r>
    <x v="2"/>
    <s v="PM-REBS Rebuild Servers"/>
    <x v="3"/>
    <s v="030204"/>
    <x v="1"/>
  </r>
  <r>
    <x v="2"/>
    <s v="PM-REBS Rebuild Servers"/>
    <x v="4"/>
    <s v="030205"/>
    <x v="1"/>
  </r>
  <r>
    <x v="2"/>
    <s v="PM-REBC Rebuild Clients"/>
    <x v="0"/>
    <s v="030301"/>
    <x v="0"/>
  </r>
  <r>
    <x v="2"/>
    <s v="PM-REBC Rebuild Clients"/>
    <x v="1"/>
    <s v="030302"/>
    <x v="1"/>
  </r>
  <r>
    <x v="2"/>
    <s v="PM-REBC Rebuild Clients"/>
    <x v="2"/>
    <s v="030303"/>
    <x v="1"/>
  </r>
  <r>
    <x v="2"/>
    <s v="PM-REBC Rebuild Clients"/>
    <x v="3"/>
    <s v="030304"/>
    <x v="1"/>
  </r>
  <r>
    <x v="2"/>
    <s v="PM-REBC Rebuild Clients"/>
    <x v="4"/>
    <s v="030305"/>
    <x v="1"/>
  </r>
  <r>
    <x v="2"/>
    <s v="PM-PWCC Password Change for Privileged Local Accounts"/>
    <x v="0"/>
    <s v="030401"/>
    <x v="0"/>
  </r>
  <r>
    <x v="2"/>
    <s v="PM-PWCC Password Change for Privileged Local Accounts"/>
    <x v="1"/>
    <s v="030402"/>
    <x v="1"/>
  </r>
  <r>
    <x v="2"/>
    <s v="PM-PWCC Password Change for Privileged Local Accounts"/>
    <x v="2"/>
    <s v="030403"/>
    <x v="1"/>
  </r>
  <r>
    <x v="2"/>
    <s v="PM-PWCC Password Change for Privileged Local Accounts"/>
    <x v="3"/>
    <s v="030404"/>
    <x v="1"/>
  </r>
  <r>
    <x v="2"/>
    <s v="PM-PWCC Password Change for Privileged Local Accounts"/>
    <x v="4"/>
    <s v="030405"/>
    <x v="1"/>
  </r>
  <r>
    <x v="2"/>
    <s v="PM-KTGT Kerberos TGT Reset"/>
    <x v="0"/>
    <s v="030501"/>
    <x v="0"/>
  </r>
  <r>
    <x v="2"/>
    <s v="PM-KTGT Kerberos TGT Reset"/>
    <x v="1"/>
    <s v="030502"/>
    <x v="1"/>
  </r>
  <r>
    <x v="2"/>
    <s v="PM-KTGT Kerberos TGT Reset"/>
    <x v="2"/>
    <s v="030503"/>
    <x v="1"/>
  </r>
  <r>
    <x v="2"/>
    <s v="PM-KTGT Kerberos TGT Reset"/>
    <x v="3"/>
    <s v="030504"/>
    <x v="1"/>
  </r>
  <r>
    <x v="2"/>
    <s v="PM-KTGT Kerberos TGT Reset"/>
    <x v="4"/>
    <s v="030505"/>
    <x v="1"/>
  </r>
  <r>
    <x v="2"/>
    <s v="PM-BLKI Block Internet Connection"/>
    <x v="0"/>
    <s v="030601"/>
    <x v="0"/>
  </r>
  <r>
    <x v="2"/>
    <s v="PM-BLKI Block Internet Connection"/>
    <x v="1"/>
    <s v="030602"/>
    <x v="1"/>
  </r>
  <r>
    <x v="2"/>
    <s v="PM-BLKI Block Internet Connection"/>
    <x v="2"/>
    <s v="030603"/>
    <x v="1"/>
  </r>
  <r>
    <x v="2"/>
    <s v="PM-BLKI Block Internet Connection"/>
    <x v="3"/>
    <s v="030604"/>
    <x v="1"/>
  </r>
  <r>
    <x v="2"/>
    <s v="PM-BLKI Block Internet Connection"/>
    <x v="4"/>
    <s v="030605"/>
    <x v="1"/>
  </r>
  <r>
    <x v="2"/>
    <s v="PM-BLKS Block System-To-System Connection"/>
    <x v="0"/>
    <s v="030701"/>
    <x v="0"/>
  </r>
  <r>
    <x v="2"/>
    <s v="PM-BLKS Block System-To-System Connection"/>
    <x v="1"/>
    <s v="030702"/>
    <x v="1"/>
  </r>
  <r>
    <x v="2"/>
    <s v="PM-BLKS Block System-To-System Connection"/>
    <x v="2"/>
    <s v="030703"/>
    <x v="1"/>
  </r>
  <r>
    <x v="2"/>
    <s v="PM-BLKS Block System-To-System Connection"/>
    <x v="3"/>
    <s v="030704"/>
    <x v="1"/>
  </r>
  <r>
    <x v="2"/>
    <s v="PM-BLKS Block System-To-System Connection"/>
    <x v="4"/>
    <s v="030705"/>
    <x v="1"/>
  </r>
  <r>
    <x v="2"/>
    <s v="PM-BLIP IP Blacklisting"/>
    <x v="0"/>
    <s v="030801"/>
    <x v="0"/>
  </r>
  <r>
    <x v="2"/>
    <s v="PM-BLIP IP Blacklisting"/>
    <x v="1"/>
    <s v="030802"/>
    <x v="1"/>
  </r>
  <r>
    <x v="2"/>
    <s v="PM-BLIP IP Blacklisting"/>
    <x v="2"/>
    <s v="030803"/>
    <x v="1"/>
  </r>
  <r>
    <x v="2"/>
    <s v="PM-BLIP IP Blacklisting"/>
    <x v="3"/>
    <s v="030804"/>
    <x v="1"/>
  </r>
  <r>
    <x v="2"/>
    <s v="PM-BLIP IP Blacklisting"/>
    <x v="4"/>
    <s v="030805"/>
    <x v="1"/>
  </r>
  <r>
    <x v="2"/>
    <s v="PM-RMAC Replace RAT"/>
    <x v="0"/>
    <s v="030901"/>
    <x v="0"/>
  </r>
  <r>
    <x v="2"/>
    <s v="PM-RMAC Replace RAT"/>
    <x v="1"/>
    <s v="030902"/>
    <x v="1"/>
  </r>
  <r>
    <x v="2"/>
    <s v="PM-RMAC Replace RAT"/>
    <x v="2"/>
    <s v="030903"/>
    <x v="1"/>
  </r>
  <r>
    <x v="2"/>
    <s v="PM-RMAC Replace RAT"/>
    <x v="3"/>
    <s v="030904"/>
    <x v="1"/>
  </r>
  <r>
    <x v="2"/>
    <s v="PM-RMAC Replace RAT"/>
    <x v="4"/>
    <s v="030905"/>
    <x v="1"/>
  </r>
  <r>
    <x v="2"/>
    <s v="PM-SHDN Sinkhole Domain Names"/>
    <x v="0"/>
    <s v="031001"/>
    <x v="0"/>
  </r>
  <r>
    <x v="2"/>
    <s v="PM-SHDN Sinkhole Domain Names"/>
    <x v="1"/>
    <s v="031002"/>
    <x v="1"/>
  </r>
  <r>
    <x v="2"/>
    <s v="PM-SHDN Sinkhole Domain Names"/>
    <x v="2"/>
    <s v="031003"/>
    <x v="1"/>
  </r>
  <r>
    <x v="2"/>
    <s v="PM-SHDN Sinkhole Domain Names"/>
    <x v="3"/>
    <s v="031004"/>
    <x v="1"/>
  </r>
  <r>
    <x v="2"/>
    <s v="PM-SHDN Sinkhole Domain Names"/>
    <x v="4"/>
    <s v="031005"/>
    <x v="1"/>
  </r>
  <r>
    <x v="2"/>
    <s v="PM-PWCE Enterprise Password Change"/>
    <x v="0"/>
    <s v="031101"/>
    <x v="0"/>
  </r>
  <r>
    <x v="2"/>
    <s v="PM-PWCE Enterprise Password Change"/>
    <x v="1"/>
    <s v="031102"/>
    <x v="1"/>
  </r>
  <r>
    <x v="2"/>
    <s v="PM-PWCE Enterprise Password Change"/>
    <x v="2"/>
    <s v="031103"/>
    <x v="1"/>
  </r>
  <r>
    <x v="2"/>
    <s v="PM-PWCE Enterprise Password Change"/>
    <x v="3"/>
    <s v="031104"/>
    <x v="1"/>
  </r>
  <r>
    <x v="2"/>
    <s v="PM-PWCE Enterprise Password Change"/>
    <x v="4"/>
    <s v="031105"/>
    <x v="1"/>
  </r>
  <r>
    <x v="2"/>
    <s v="PM-ESAE Implement ESAE"/>
    <x v="0"/>
    <s v="031201"/>
    <x v="0"/>
  </r>
  <r>
    <x v="2"/>
    <s v="PM-ESAE Implement ESAE"/>
    <x v="1"/>
    <s v="031202"/>
    <x v="1"/>
  </r>
  <r>
    <x v="2"/>
    <s v="PM-ESAE Implement ESAE"/>
    <x v="2"/>
    <s v="031203"/>
    <x v="1"/>
  </r>
  <r>
    <x v="2"/>
    <s v="PM-ESAE Implement ESAE"/>
    <x v="3"/>
    <s v="031204"/>
    <x v="1"/>
  </r>
  <r>
    <x v="2"/>
    <s v="PM-ESAE Implement ESAE"/>
    <x v="4"/>
    <s v="031205"/>
    <x v="1"/>
  </r>
  <r>
    <x v="2"/>
    <s v="PM-WHIT Application Whitelisting on DCs"/>
    <x v="0"/>
    <s v="031301"/>
    <x v="0"/>
  </r>
  <r>
    <x v="2"/>
    <s v="PM-WHIT Application Whitelisting on DCs"/>
    <x v="1"/>
    <s v="031302"/>
    <x v="1"/>
  </r>
  <r>
    <x v="2"/>
    <s v="PM-WHIT Application Whitelisting on DCs"/>
    <x v="2"/>
    <s v="031303"/>
    <x v="1"/>
  </r>
  <r>
    <x v="2"/>
    <s v="PM-WHIT Application Whitelisting on DCs"/>
    <x v="3"/>
    <s v="031304"/>
    <x v="1"/>
  </r>
  <r>
    <x v="2"/>
    <s v="PM-WHIT Application Whitelisting on DCs"/>
    <x v="4"/>
    <s v="031305"/>
    <x v="1"/>
  </r>
  <r>
    <x v="2"/>
    <s v="PM-MVUL Scan for vulnerable Middleware components"/>
    <x v="0"/>
    <s v="031401"/>
    <x v="0"/>
  </r>
  <r>
    <x v="2"/>
    <s v="PM-MVUL Scan for vulnerable Middleware components"/>
    <x v="1"/>
    <s v="031402"/>
    <x v="1"/>
  </r>
  <r>
    <x v="2"/>
    <s v="PM-MVUL Scan for vulnerable Middleware components"/>
    <x v="2"/>
    <s v="031403"/>
    <x v="1"/>
  </r>
  <r>
    <x v="2"/>
    <s v="PM-MVUL Scan for vulnerable Middleware components"/>
    <x v="3"/>
    <s v="031404"/>
    <x v="1"/>
  </r>
  <r>
    <x v="2"/>
    <s v="PM-MVUL Scan for vulnerable Middleware components"/>
    <x v="4"/>
    <s v="031405"/>
    <x v="1"/>
  </r>
  <r>
    <x v="2"/>
    <s v="PM-MHRD Middleware hardening"/>
    <x v="0"/>
    <s v="031501"/>
    <x v="0"/>
  </r>
  <r>
    <x v="2"/>
    <s v="PM-MHRD Middleware hardening"/>
    <x v="1"/>
    <s v="031502"/>
    <x v="1"/>
  </r>
  <r>
    <x v="2"/>
    <s v="PM-MHRD Middleware hardening"/>
    <x v="2"/>
    <s v="031503"/>
    <x v="1"/>
  </r>
  <r>
    <x v="2"/>
    <s v="PM-MHRD Middleware hardening"/>
    <x v="3"/>
    <s v="031504"/>
    <x v="1"/>
  </r>
  <r>
    <x v="2"/>
    <s v="PM-MHRD Middleware hardening"/>
    <x v="4"/>
    <s v="031505"/>
    <x v="1"/>
  </r>
  <r>
    <x v="2"/>
    <s v="PM-AWRN: Awareness"/>
    <x v="0"/>
    <s v="031601"/>
    <x v="0"/>
  </r>
  <r>
    <x v="2"/>
    <s v="PM-AWRN: Awareness"/>
    <x v="1"/>
    <s v="031602"/>
    <x v="1"/>
  </r>
  <r>
    <x v="2"/>
    <s v="PM-AWRN: Awareness"/>
    <x v="2"/>
    <s v="031603"/>
    <x v="1"/>
  </r>
  <r>
    <x v="2"/>
    <s v="PM-AWRN: Awareness"/>
    <x v="3"/>
    <s v="031604"/>
    <x v="1"/>
  </r>
  <r>
    <x v="2"/>
    <s v="PM-AWRN: Awareness"/>
    <x v="4"/>
    <s v="031605"/>
    <x v="1"/>
  </r>
  <r>
    <x v="3"/>
    <s v="PM-CMPS Identify Compromised Systems"/>
    <x v="0"/>
    <s v="040101"/>
    <x v="0"/>
  </r>
  <r>
    <x v="3"/>
    <s v="PM-CMPS Identify Compromised Systems"/>
    <x v="1"/>
    <s v="040102"/>
    <x v="1"/>
  </r>
  <r>
    <x v="3"/>
    <s v="PM-CMPS Identify Compromised Systems"/>
    <x v="2"/>
    <s v="040103"/>
    <x v="1"/>
  </r>
  <r>
    <x v="3"/>
    <s v="PM-CMPS Identify Compromised Systems"/>
    <x v="3"/>
    <s v="040104"/>
    <x v="1"/>
  </r>
  <r>
    <x v="3"/>
    <s v="PM-CMPS Identify Compromised Systems"/>
    <x v="4"/>
    <s v="040105"/>
    <x v="1"/>
  </r>
  <r>
    <x v="3"/>
    <s v="PM-REBS Rebuild Servers"/>
    <x v="0"/>
    <s v="040201"/>
    <x v="0"/>
  </r>
  <r>
    <x v="3"/>
    <s v="PM-REBS Rebuild Servers"/>
    <x v="1"/>
    <s v="040202"/>
    <x v="1"/>
  </r>
  <r>
    <x v="3"/>
    <s v="PM-REBS Rebuild Servers"/>
    <x v="2"/>
    <s v="040203"/>
    <x v="1"/>
  </r>
  <r>
    <x v="3"/>
    <s v="PM-REBS Rebuild Servers"/>
    <x v="3"/>
    <s v="040204"/>
    <x v="1"/>
  </r>
  <r>
    <x v="3"/>
    <s v="PM-REBS Rebuild Servers"/>
    <x v="4"/>
    <s v="040205"/>
    <x v="1"/>
  </r>
  <r>
    <x v="3"/>
    <s v="PM-REBC Rebuild Clients"/>
    <x v="0"/>
    <s v="040301"/>
    <x v="0"/>
  </r>
  <r>
    <x v="3"/>
    <s v="PM-REBC Rebuild Clients"/>
    <x v="1"/>
    <s v="040302"/>
    <x v="1"/>
  </r>
  <r>
    <x v="3"/>
    <s v="PM-REBC Rebuild Clients"/>
    <x v="2"/>
    <s v="040303"/>
    <x v="1"/>
  </r>
  <r>
    <x v="3"/>
    <s v="PM-REBC Rebuild Clients"/>
    <x v="3"/>
    <s v="040304"/>
    <x v="1"/>
  </r>
  <r>
    <x v="3"/>
    <s v="PM-REBC Rebuild Clients"/>
    <x v="4"/>
    <s v="040305"/>
    <x v="1"/>
  </r>
  <r>
    <x v="3"/>
    <s v="PM-PWCC Password Change for Privileged Local Accounts"/>
    <x v="0"/>
    <s v="040401"/>
    <x v="0"/>
  </r>
  <r>
    <x v="3"/>
    <s v="PM-PWCC Password Change for Privileged Local Accounts"/>
    <x v="1"/>
    <s v="040402"/>
    <x v="1"/>
  </r>
  <r>
    <x v="3"/>
    <s v="PM-PWCC Password Change for Privileged Local Accounts"/>
    <x v="2"/>
    <s v="040403"/>
    <x v="1"/>
  </r>
  <r>
    <x v="3"/>
    <s v="PM-PWCC Password Change for Privileged Local Accounts"/>
    <x v="3"/>
    <s v="040404"/>
    <x v="1"/>
  </r>
  <r>
    <x v="3"/>
    <s v="PM-PWCC Password Change for Privileged Local Accounts"/>
    <x v="4"/>
    <s v="040405"/>
    <x v="1"/>
  </r>
  <r>
    <x v="3"/>
    <s v="PM-KTGT Kerberos TGT Reset"/>
    <x v="0"/>
    <s v="040501"/>
    <x v="0"/>
  </r>
  <r>
    <x v="3"/>
    <s v="PM-KTGT Kerberos TGT Reset"/>
    <x v="1"/>
    <s v="040502"/>
    <x v="1"/>
  </r>
  <r>
    <x v="3"/>
    <s v="PM-KTGT Kerberos TGT Reset"/>
    <x v="2"/>
    <s v="040503"/>
    <x v="1"/>
  </r>
  <r>
    <x v="3"/>
    <s v="PM-KTGT Kerberos TGT Reset"/>
    <x v="3"/>
    <s v="040504"/>
    <x v="1"/>
  </r>
  <r>
    <x v="3"/>
    <s v="PM-KTGT Kerberos TGT Reset"/>
    <x v="4"/>
    <s v="040505"/>
    <x v="1"/>
  </r>
  <r>
    <x v="3"/>
    <s v="PM-BLKI Block Internet Connection"/>
    <x v="0"/>
    <s v="040601"/>
    <x v="0"/>
  </r>
  <r>
    <x v="3"/>
    <s v="PM-BLKI Block Internet Connection"/>
    <x v="1"/>
    <s v="040602"/>
    <x v="1"/>
  </r>
  <r>
    <x v="3"/>
    <s v="PM-BLKI Block Internet Connection"/>
    <x v="2"/>
    <s v="040603"/>
    <x v="1"/>
  </r>
  <r>
    <x v="3"/>
    <s v="PM-BLKI Block Internet Connection"/>
    <x v="3"/>
    <s v="040604"/>
    <x v="1"/>
  </r>
  <r>
    <x v="3"/>
    <s v="PM-BLKI Block Internet Connection"/>
    <x v="4"/>
    <s v="040605"/>
    <x v="1"/>
  </r>
  <r>
    <x v="3"/>
    <s v="PM-BLKS Block System-To-System Connection"/>
    <x v="0"/>
    <s v="040701"/>
    <x v="0"/>
  </r>
  <r>
    <x v="3"/>
    <s v="PM-BLKS Block System-To-System Connection"/>
    <x v="1"/>
    <s v="040702"/>
    <x v="1"/>
  </r>
  <r>
    <x v="3"/>
    <s v="PM-BLKS Block System-To-System Connection"/>
    <x v="2"/>
    <s v="040703"/>
    <x v="1"/>
  </r>
  <r>
    <x v="3"/>
    <s v="PM-BLKS Block System-To-System Connection"/>
    <x v="3"/>
    <s v="040704"/>
    <x v="1"/>
  </r>
  <r>
    <x v="3"/>
    <s v="PM-BLKS Block System-To-System Connection"/>
    <x v="4"/>
    <s v="040705"/>
    <x v="1"/>
  </r>
  <r>
    <x v="3"/>
    <s v="PM-BLIP IP Blacklisting"/>
    <x v="0"/>
    <s v="040801"/>
    <x v="0"/>
  </r>
  <r>
    <x v="3"/>
    <s v="PM-BLIP IP Blacklisting"/>
    <x v="1"/>
    <s v="040802"/>
    <x v="1"/>
  </r>
  <r>
    <x v="3"/>
    <s v="PM-BLIP IP Blacklisting"/>
    <x v="2"/>
    <s v="040803"/>
    <x v="1"/>
  </r>
  <r>
    <x v="3"/>
    <s v="PM-BLIP IP Blacklisting"/>
    <x v="3"/>
    <s v="040804"/>
    <x v="1"/>
  </r>
  <r>
    <x v="3"/>
    <s v="PM-BLIP IP Blacklisting"/>
    <x v="4"/>
    <s v="040805"/>
    <x v="1"/>
  </r>
  <r>
    <x v="3"/>
    <s v="PM-RMAC Replace RAT"/>
    <x v="0"/>
    <s v="040901"/>
    <x v="0"/>
  </r>
  <r>
    <x v="3"/>
    <s v="PM-RMAC Replace RAT"/>
    <x v="1"/>
    <s v="040902"/>
    <x v="1"/>
  </r>
  <r>
    <x v="3"/>
    <s v="PM-RMAC Replace RAT"/>
    <x v="2"/>
    <s v="040903"/>
    <x v="1"/>
  </r>
  <r>
    <x v="3"/>
    <s v="PM-RMAC Replace RAT"/>
    <x v="3"/>
    <s v="040904"/>
    <x v="1"/>
  </r>
  <r>
    <x v="3"/>
    <s v="PM-RMAC Replace RAT"/>
    <x v="4"/>
    <s v="040905"/>
    <x v="1"/>
  </r>
  <r>
    <x v="3"/>
    <s v="PM-SHDN Sinkhole Domain Names"/>
    <x v="0"/>
    <s v="041001"/>
    <x v="0"/>
  </r>
  <r>
    <x v="3"/>
    <s v="PM-SHDN Sinkhole Domain Names"/>
    <x v="1"/>
    <s v="041002"/>
    <x v="1"/>
  </r>
  <r>
    <x v="3"/>
    <s v="PM-SHDN Sinkhole Domain Names"/>
    <x v="2"/>
    <s v="041003"/>
    <x v="1"/>
  </r>
  <r>
    <x v="3"/>
    <s v="PM-SHDN Sinkhole Domain Names"/>
    <x v="3"/>
    <s v="041004"/>
    <x v="1"/>
  </r>
  <r>
    <x v="3"/>
    <s v="PM-SHDN Sinkhole Domain Names"/>
    <x v="4"/>
    <s v="041005"/>
    <x v="1"/>
  </r>
  <r>
    <x v="3"/>
    <s v="PM-PWCE Enterprise Password Change"/>
    <x v="0"/>
    <s v="041101"/>
    <x v="0"/>
  </r>
  <r>
    <x v="3"/>
    <s v="PM-PWCE Enterprise Password Change"/>
    <x v="1"/>
    <s v="041102"/>
    <x v="1"/>
  </r>
  <r>
    <x v="3"/>
    <s v="PM-PWCE Enterprise Password Change"/>
    <x v="2"/>
    <s v="041103"/>
    <x v="1"/>
  </r>
  <r>
    <x v="3"/>
    <s v="PM-PWCE Enterprise Password Change"/>
    <x v="3"/>
    <s v="041104"/>
    <x v="1"/>
  </r>
  <r>
    <x v="3"/>
    <s v="PM-PWCE Enterprise Password Change"/>
    <x v="4"/>
    <s v="041105"/>
    <x v="1"/>
  </r>
  <r>
    <x v="3"/>
    <s v="PM-ESAE Implement ESAE"/>
    <x v="0"/>
    <s v="041201"/>
    <x v="0"/>
  </r>
  <r>
    <x v="3"/>
    <s v="PM-ESAE Implement ESAE"/>
    <x v="1"/>
    <s v="041202"/>
    <x v="1"/>
  </r>
  <r>
    <x v="3"/>
    <s v="PM-ESAE Implement ESAE"/>
    <x v="2"/>
    <s v="041203"/>
    <x v="1"/>
  </r>
  <r>
    <x v="3"/>
    <s v="PM-ESAE Implement ESAE"/>
    <x v="3"/>
    <s v="041204"/>
    <x v="1"/>
  </r>
  <r>
    <x v="3"/>
    <s v="PM-ESAE Implement ESAE"/>
    <x v="4"/>
    <s v="041205"/>
    <x v="1"/>
  </r>
  <r>
    <x v="3"/>
    <s v="PM-WHIT Application Whitelisting on DCs"/>
    <x v="0"/>
    <s v="041301"/>
    <x v="0"/>
  </r>
  <r>
    <x v="3"/>
    <s v="PM-WHIT Application Whitelisting on DCs"/>
    <x v="1"/>
    <s v="041302"/>
    <x v="1"/>
  </r>
  <r>
    <x v="3"/>
    <s v="PM-WHIT Application Whitelisting on DCs"/>
    <x v="2"/>
    <s v="041303"/>
    <x v="1"/>
  </r>
  <r>
    <x v="3"/>
    <s v="PM-WHIT Application Whitelisting on DCs"/>
    <x v="3"/>
    <s v="041304"/>
    <x v="1"/>
  </r>
  <r>
    <x v="3"/>
    <s v="PM-WHIT Application Whitelisting on DCs"/>
    <x v="4"/>
    <s v="041305"/>
    <x v="1"/>
  </r>
  <r>
    <x v="3"/>
    <s v="PM-MVUL Scan for vulnerable Middleware components"/>
    <x v="0"/>
    <s v="041401"/>
    <x v="0"/>
  </r>
  <r>
    <x v="3"/>
    <s v="PM-MVUL Scan for vulnerable Middleware components"/>
    <x v="1"/>
    <s v="041402"/>
    <x v="1"/>
  </r>
  <r>
    <x v="3"/>
    <s v="PM-MVUL Scan for vulnerable Middleware components"/>
    <x v="2"/>
    <s v="041403"/>
    <x v="1"/>
  </r>
  <r>
    <x v="3"/>
    <s v="PM-MVUL Scan for vulnerable Middleware components"/>
    <x v="3"/>
    <s v="041404"/>
    <x v="1"/>
  </r>
  <r>
    <x v="3"/>
    <s v="PM-MVUL Scan for vulnerable Middleware components"/>
    <x v="4"/>
    <s v="041405"/>
    <x v="1"/>
  </r>
  <r>
    <x v="3"/>
    <s v="PM-MHRD Middleware hardening"/>
    <x v="0"/>
    <s v="041501"/>
    <x v="0"/>
  </r>
  <r>
    <x v="3"/>
    <s v="PM-MHRD Middleware hardening"/>
    <x v="1"/>
    <s v="041502"/>
    <x v="1"/>
  </r>
  <r>
    <x v="3"/>
    <s v="PM-MHRD Middleware hardening"/>
    <x v="2"/>
    <s v="041503"/>
    <x v="1"/>
  </r>
  <r>
    <x v="3"/>
    <s v="PM-MHRD Middleware hardening"/>
    <x v="3"/>
    <s v="041504"/>
    <x v="1"/>
  </r>
  <r>
    <x v="3"/>
    <s v="PM-MHRD Middleware hardening"/>
    <x v="4"/>
    <s v="041505"/>
    <x v="1"/>
  </r>
  <r>
    <x v="3"/>
    <s v="PM-AWRN: Awareness"/>
    <x v="0"/>
    <s v="041601"/>
    <x v="0"/>
  </r>
  <r>
    <x v="3"/>
    <s v="PM-AWRN: Awareness"/>
    <x v="1"/>
    <s v="041602"/>
    <x v="1"/>
  </r>
  <r>
    <x v="3"/>
    <s v="PM-AWRN: Awareness"/>
    <x v="2"/>
    <s v="041603"/>
    <x v="1"/>
  </r>
  <r>
    <x v="3"/>
    <s v="PM-AWRN: Awareness"/>
    <x v="3"/>
    <s v="041604"/>
    <x v="1"/>
  </r>
  <r>
    <x v="3"/>
    <s v="PM-AWRN: Awareness"/>
    <x v="4"/>
    <s v="041605"/>
    <x v="1"/>
  </r>
  <r>
    <x v="4"/>
    <s v="PM-CMPS Identify Compromised Systems"/>
    <x v="0"/>
    <s v="050101"/>
    <x v="0"/>
  </r>
  <r>
    <x v="4"/>
    <s v="PM-CMPS Identify Compromised Systems"/>
    <x v="1"/>
    <s v="050102"/>
    <x v="1"/>
  </r>
  <r>
    <x v="4"/>
    <s v="PM-CMPS Identify Compromised Systems"/>
    <x v="2"/>
    <s v="050103"/>
    <x v="1"/>
  </r>
  <r>
    <x v="4"/>
    <s v="PM-CMPS Identify Compromised Systems"/>
    <x v="3"/>
    <s v="050104"/>
    <x v="1"/>
  </r>
  <r>
    <x v="4"/>
    <s v="PM-CMPS Identify Compromised Systems"/>
    <x v="4"/>
    <s v="050105"/>
    <x v="1"/>
  </r>
  <r>
    <x v="4"/>
    <s v="PM-REBS Rebuild Servers"/>
    <x v="0"/>
    <s v="050201"/>
    <x v="0"/>
  </r>
  <r>
    <x v="4"/>
    <s v="PM-REBS Rebuild Servers"/>
    <x v="1"/>
    <s v="050202"/>
    <x v="1"/>
  </r>
  <r>
    <x v="4"/>
    <s v="PM-REBS Rebuild Servers"/>
    <x v="2"/>
    <s v="050203"/>
    <x v="1"/>
  </r>
  <r>
    <x v="4"/>
    <s v="PM-REBS Rebuild Servers"/>
    <x v="3"/>
    <s v="050204"/>
    <x v="1"/>
  </r>
  <r>
    <x v="4"/>
    <s v="PM-REBS Rebuild Servers"/>
    <x v="4"/>
    <s v="050205"/>
    <x v="1"/>
  </r>
  <r>
    <x v="4"/>
    <s v="PM-REBC Rebuild Clients"/>
    <x v="0"/>
    <s v="050301"/>
    <x v="0"/>
  </r>
  <r>
    <x v="4"/>
    <s v="PM-REBC Rebuild Clients"/>
    <x v="1"/>
    <s v="050302"/>
    <x v="1"/>
  </r>
  <r>
    <x v="4"/>
    <s v="PM-REBC Rebuild Clients"/>
    <x v="2"/>
    <s v="050303"/>
    <x v="1"/>
  </r>
  <r>
    <x v="4"/>
    <s v="PM-REBC Rebuild Clients"/>
    <x v="3"/>
    <s v="050304"/>
    <x v="1"/>
  </r>
  <r>
    <x v="4"/>
    <s v="PM-REBC Rebuild Clients"/>
    <x v="4"/>
    <s v="050305"/>
    <x v="1"/>
  </r>
  <r>
    <x v="4"/>
    <s v="PM-PWCC Password Change for Privileged Local Accounts"/>
    <x v="0"/>
    <s v="050401"/>
    <x v="0"/>
  </r>
  <r>
    <x v="4"/>
    <s v="PM-PWCC Password Change for Privileged Local Accounts"/>
    <x v="1"/>
    <s v="050402"/>
    <x v="1"/>
  </r>
  <r>
    <x v="4"/>
    <s v="PM-PWCC Password Change for Privileged Local Accounts"/>
    <x v="2"/>
    <s v="050403"/>
    <x v="1"/>
  </r>
  <r>
    <x v="4"/>
    <s v="PM-PWCC Password Change for Privileged Local Accounts"/>
    <x v="3"/>
    <s v="050404"/>
    <x v="1"/>
  </r>
  <r>
    <x v="4"/>
    <s v="PM-PWCC Password Change for Privileged Local Accounts"/>
    <x v="4"/>
    <s v="050405"/>
    <x v="1"/>
  </r>
  <r>
    <x v="4"/>
    <s v="PM-KTGT Kerberos TGT Reset"/>
    <x v="0"/>
    <s v="050501"/>
    <x v="0"/>
  </r>
  <r>
    <x v="4"/>
    <s v="PM-KTGT Kerberos TGT Reset"/>
    <x v="1"/>
    <s v="050502"/>
    <x v="1"/>
  </r>
  <r>
    <x v="4"/>
    <s v="PM-KTGT Kerberos TGT Reset"/>
    <x v="2"/>
    <s v="050503"/>
    <x v="1"/>
  </r>
  <r>
    <x v="4"/>
    <s v="PM-KTGT Kerberos TGT Reset"/>
    <x v="3"/>
    <s v="050504"/>
    <x v="1"/>
  </r>
  <r>
    <x v="4"/>
    <s v="PM-KTGT Kerberos TGT Reset"/>
    <x v="4"/>
    <s v="050505"/>
    <x v="1"/>
  </r>
  <r>
    <x v="4"/>
    <s v="PM-BLKI Block Internet Connection"/>
    <x v="0"/>
    <s v="050601"/>
    <x v="0"/>
  </r>
  <r>
    <x v="4"/>
    <s v="PM-BLKI Block Internet Connection"/>
    <x v="1"/>
    <s v="050602"/>
    <x v="1"/>
  </r>
  <r>
    <x v="4"/>
    <s v="PM-BLKI Block Internet Connection"/>
    <x v="2"/>
    <s v="050603"/>
    <x v="1"/>
  </r>
  <r>
    <x v="4"/>
    <s v="PM-BLKI Block Internet Connection"/>
    <x v="3"/>
    <s v="050604"/>
    <x v="1"/>
  </r>
  <r>
    <x v="4"/>
    <s v="PM-BLKI Block Internet Connection"/>
    <x v="4"/>
    <s v="050605"/>
    <x v="1"/>
  </r>
  <r>
    <x v="4"/>
    <s v="PM-BLKS Block System-To-System Connection"/>
    <x v="0"/>
    <s v="050701"/>
    <x v="0"/>
  </r>
  <r>
    <x v="4"/>
    <s v="PM-BLKS Block System-To-System Connection"/>
    <x v="1"/>
    <s v="050702"/>
    <x v="1"/>
  </r>
  <r>
    <x v="4"/>
    <s v="PM-BLKS Block System-To-System Connection"/>
    <x v="2"/>
    <s v="050703"/>
    <x v="1"/>
  </r>
  <r>
    <x v="4"/>
    <s v="PM-BLKS Block System-To-System Connection"/>
    <x v="3"/>
    <s v="050704"/>
    <x v="1"/>
  </r>
  <r>
    <x v="4"/>
    <s v="PM-BLKS Block System-To-System Connection"/>
    <x v="4"/>
    <s v="050705"/>
    <x v="1"/>
  </r>
  <r>
    <x v="4"/>
    <s v="PM-BLIP IP Blacklisting"/>
    <x v="0"/>
    <s v="050801"/>
    <x v="0"/>
  </r>
  <r>
    <x v="4"/>
    <s v="PM-BLIP IP Blacklisting"/>
    <x v="1"/>
    <s v="050802"/>
    <x v="1"/>
  </r>
  <r>
    <x v="4"/>
    <s v="PM-BLIP IP Blacklisting"/>
    <x v="2"/>
    <s v="050803"/>
    <x v="1"/>
  </r>
  <r>
    <x v="4"/>
    <s v="PM-BLIP IP Blacklisting"/>
    <x v="3"/>
    <s v="050804"/>
    <x v="1"/>
  </r>
  <r>
    <x v="4"/>
    <s v="PM-BLIP IP Blacklisting"/>
    <x v="4"/>
    <s v="050805"/>
    <x v="1"/>
  </r>
  <r>
    <x v="4"/>
    <s v="PM-RMAC Replace RAT"/>
    <x v="0"/>
    <s v="050901"/>
    <x v="0"/>
  </r>
  <r>
    <x v="4"/>
    <s v="PM-RMAC Replace RAT"/>
    <x v="1"/>
    <s v="050902"/>
    <x v="1"/>
  </r>
  <r>
    <x v="4"/>
    <s v="PM-RMAC Replace RAT"/>
    <x v="2"/>
    <s v="050903"/>
    <x v="1"/>
  </r>
  <r>
    <x v="4"/>
    <s v="PM-RMAC Replace RAT"/>
    <x v="3"/>
    <s v="050904"/>
    <x v="1"/>
  </r>
  <r>
    <x v="4"/>
    <s v="PM-RMAC Replace RAT"/>
    <x v="4"/>
    <s v="050905"/>
    <x v="1"/>
  </r>
  <r>
    <x v="4"/>
    <s v="PM-SHDN Sinkhole Domain Names"/>
    <x v="0"/>
    <s v="051001"/>
    <x v="0"/>
  </r>
  <r>
    <x v="4"/>
    <s v="PM-SHDN Sinkhole Domain Names"/>
    <x v="1"/>
    <s v="051002"/>
    <x v="1"/>
  </r>
  <r>
    <x v="4"/>
    <s v="PM-SHDN Sinkhole Domain Names"/>
    <x v="2"/>
    <s v="051003"/>
    <x v="1"/>
  </r>
  <r>
    <x v="4"/>
    <s v="PM-SHDN Sinkhole Domain Names"/>
    <x v="3"/>
    <s v="051004"/>
    <x v="1"/>
  </r>
  <r>
    <x v="4"/>
    <s v="PM-SHDN Sinkhole Domain Names"/>
    <x v="4"/>
    <s v="051005"/>
    <x v="1"/>
  </r>
  <r>
    <x v="4"/>
    <s v="PM-PWCE Enterprise Password Change"/>
    <x v="0"/>
    <s v="051101"/>
    <x v="0"/>
  </r>
  <r>
    <x v="4"/>
    <s v="PM-PWCE Enterprise Password Change"/>
    <x v="1"/>
    <s v="051102"/>
    <x v="1"/>
  </r>
  <r>
    <x v="4"/>
    <s v="PM-PWCE Enterprise Password Change"/>
    <x v="2"/>
    <s v="051103"/>
    <x v="1"/>
  </r>
  <r>
    <x v="4"/>
    <s v="PM-PWCE Enterprise Password Change"/>
    <x v="3"/>
    <s v="051104"/>
    <x v="1"/>
  </r>
  <r>
    <x v="4"/>
    <s v="PM-PWCE Enterprise Password Change"/>
    <x v="4"/>
    <s v="051105"/>
    <x v="1"/>
  </r>
  <r>
    <x v="4"/>
    <s v="PM-ESAE Implement ESAE"/>
    <x v="0"/>
    <s v="051201"/>
    <x v="0"/>
  </r>
  <r>
    <x v="4"/>
    <s v="PM-ESAE Implement ESAE"/>
    <x v="1"/>
    <s v="051202"/>
    <x v="1"/>
  </r>
  <r>
    <x v="4"/>
    <s v="PM-ESAE Implement ESAE"/>
    <x v="2"/>
    <s v="051203"/>
    <x v="1"/>
  </r>
  <r>
    <x v="4"/>
    <s v="PM-ESAE Implement ESAE"/>
    <x v="3"/>
    <s v="051204"/>
    <x v="1"/>
  </r>
  <r>
    <x v="4"/>
    <s v="PM-ESAE Implement ESAE"/>
    <x v="4"/>
    <s v="051205"/>
    <x v="1"/>
  </r>
  <r>
    <x v="4"/>
    <s v="PM-WHIT Application Whitelisting on DCs"/>
    <x v="0"/>
    <s v="051301"/>
    <x v="0"/>
  </r>
  <r>
    <x v="4"/>
    <s v="PM-WHIT Application Whitelisting on DCs"/>
    <x v="1"/>
    <s v="051302"/>
    <x v="1"/>
  </r>
  <r>
    <x v="4"/>
    <s v="PM-WHIT Application Whitelisting on DCs"/>
    <x v="2"/>
    <s v="051303"/>
    <x v="1"/>
  </r>
  <r>
    <x v="4"/>
    <s v="PM-WHIT Application Whitelisting on DCs"/>
    <x v="3"/>
    <s v="051304"/>
    <x v="1"/>
  </r>
  <r>
    <x v="4"/>
    <s v="PM-WHIT Application Whitelisting on DCs"/>
    <x v="4"/>
    <s v="051305"/>
    <x v="1"/>
  </r>
  <r>
    <x v="4"/>
    <s v="PM-MVUL Scan for vulnerable Middleware components"/>
    <x v="0"/>
    <s v="051401"/>
    <x v="0"/>
  </r>
  <r>
    <x v="4"/>
    <s v="PM-MVUL Scan for vulnerable Middleware components"/>
    <x v="1"/>
    <s v="051402"/>
    <x v="1"/>
  </r>
  <r>
    <x v="4"/>
    <s v="PM-MVUL Scan for vulnerable Middleware components"/>
    <x v="2"/>
    <s v="051403"/>
    <x v="1"/>
  </r>
  <r>
    <x v="4"/>
    <s v="PM-MVUL Scan for vulnerable Middleware components"/>
    <x v="3"/>
    <s v="051404"/>
    <x v="1"/>
  </r>
  <r>
    <x v="4"/>
    <s v="PM-MVUL Scan for vulnerable Middleware components"/>
    <x v="4"/>
    <s v="051405"/>
    <x v="1"/>
  </r>
  <r>
    <x v="4"/>
    <s v="PM-MHRD Middleware hardening"/>
    <x v="0"/>
    <s v="051501"/>
    <x v="0"/>
  </r>
  <r>
    <x v="4"/>
    <s v="PM-MHRD Middleware hardening"/>
    <x v="1"/>
    <s v="051502"/>
    <x v="1"/>
  </r>
  <r>
    <x v="4"/>
    <s v="PM-MHRD Middleware hardening"/>
    <x v="2"/>
    <s v="051503"/>
    <x v="1"/>
  </r>
  <r>
    <x v="4"/>
    <s v="PM-MHRD Middleware hardening"/>
    <x v="3"/>
    <s v="051504"/>
    <x v="1"/>
  </r>
  <r>
    <x v="4"/>
    <s v="PM-MHRD Middleware hardening"/>
    <x v="4"/>
    <s v="051505"/>
    <x v="1"/>
  </r>
  <r>
    <x v="4"/>
    <s v="PM-AWRN: Awareness"/>
    <x v="0"/>
    <s v="051601"/>
    <x v="0"/>
  </r>
  <r>
    <x v="4"/>
    <s v="PM-AWRN: Awareness"/>
    <x v="1"/>
    <s v="051602"/>
    <x v="1"/>
  </r>
  <r>
    <x v="4"/>
    <s v="PM-AWRN: Awareness"/>
    <x v="2"/>
    <s v="051603"/>
    <x v="1"/>
  </r>
  <r>
    <x v="4"/>
    <s v="PM-AWRN: Awareness"/>
    <x v="3"/>
    <s v="051604"/>
    <x v="1"/>
  </r>
  <r>
    <x v="4"/>
    <s v="PM-AWRN: Awareness"/>
    <x v="4"/>
    <s v="051605"/>
    <x v="1"/>
  </r>
  <r>
    <x v="5"/>
    <m/>
    <x v="5"/>
    <m/>
    <x v="2"/>
  </r>
  <r>
    <x v="5"/>
    <m/>
    <x v="5"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2">
  <r>
    <s v="GERMANY"/>
    <x v="0"/>
    <x v="0"/>
    <s v="010101"/>
    <x v="0"/>
  </r>
  <r>
    <s v="GERMANY"/>
    <x v="0"/>
    <x v="1"/>
    <s v="010102"/>
    <x v="1"/>
  </r>
  <r>
    <s v="GERMANY"/>
    <x v="0"/>
    <x v="2"/>
    <s v="010103"/>
    <x v="1"/>
  </r>
  <r>
    <s v="GERMANY"/>
    <x v="0"/>
    <x v="3"/>
    <s v="010104"/>
    <x v="1"/>
  </r>
  <r>
    <s v="GERMANY"/>
    <x v="0"/>
    <x v="4"/>
    <s v="010105"/>
    <x v="1"/>
  </r>
  <r>
    <s v="GERMANY"/>
    <x v="1"/>
    <x v="0"/>
    <s v="010201"/>
    <x v="0"/>
  </r>
  <r>
    <s v="GERMANY"/>
    <x v="1"/>
    <x v="1"/>
    <s v="010202"/>
    <x v="1"/>
  </r>
  <r>
    <s v="GERMANY"/>
    <x v="1"/>
    <x v="2"/>
    <s v="010203"/>
    <x v="1"/>
  </r>
  <r>
    <s v="GERMANY"/>
    <x v="1"/>
    <x v="3"/>
    <s v="010204"/>
    <x v="1"/>
  </r>
  <r>
    <s v="GERMANY"/>
    <x v="1"/>
    <x v="4"/>
    <s v="010205"/>
    <x v="1"/>
  </r>
  <r>
    <s v="GERMANY"/>
    <x v="2"/>
    <x v="0"/>
    <s v="010301"/>
    <x v="0"/>
  </r>
  <r>
    <s v="GERMANY"/>
    <x v="2"/>
    <x v="1"/>
    <s v="010302"/>
    <x v="1"/>
  </r>
  <r>
    <s v="GERMANY"/>
    <x v="2"/>
    <x v="2"/>
    <s v="010303"/>
    <x v="1"/>
  </r>
  <r>
    <s v="GERMANY"/>
    <x v="2"/>
    <x v="3"/>
    <s v="010304"/>
    <x v="1"/>
  </r>
  <r>
    <s v="GERMANY"/>
    <x v="2"/>
    <x v="4"/>
    <s v="010305"/>
    <x v="1"/>
  </r>
  <r>
    <s v="GERMANY"/>
    <x v="3"/>
    <x v="0"/>
    <s v="010401"/>
    <x v="0"/>
  </r>
  <r>
    <s v="GERMANY"/>
    <x v="3"/>
    <x v="1"/>
    <s v="010402"/>
    <x v="1"/>
  </r>
  <r>
    <s v="GERMANY"/>
    <x v="3"/>
    <x v="2"/>
    <s v="010403"/>
    <x v="1"/>
  </r>
  <r>
    <s v="GERMANY"/>
    <x v="3"/>
    <x v="3"/>
    <s v="010404"/>
    <x v="1"/>
  </r>
  <r>
    <s v="GERMANY"/>
    <x v="3"/>
    <x v="4"/>
    <s v="010405"/>
    <x v="1"/>
  </r>
  <r>
    <s v="GERMANY"/>
    <x v="4"/>
    <x v="0"/>
    <s v="010501"/>
    <x v="0"/>
  </r>
  <r>
    <s v="GERMANY"/>
    <x v="4"/>
    <x v="1"/>
    <s v="010502"/>
    <x v="1"/>
  </r>
  <r>
    <s v="GERMANY"/>
    <x v="4"/>
    <x v="2"/>
    <s v="010503"/>
    <x v="1"/>
  </r>
  <r>
    <s v="GERMANY"/>
    <x v="4"/>
    <x v="3"/>
    <s v="010504"/>
    <x v="1"/>
  </r>
  <r>
    <s v="GERMANY"/>
    <x v="4"/>
    <x v="4"/>
    <s v="010505"/>
    <x v="1"/>
  </r>
  <r>
    <s v="GERMANY"/>
    <x v="5"/>
    <x v="0"/>
    <s v="010601"/>
    <x v="0"/>
  </r>
  <r>
    <s v="GERMANY"/>
    <x v="5"/>
    <x v="1"/>
    <s v="010602"/>
    <x v="1"/>
  </r>
  <r>
    <s v="GERMANY"/>
    <x v="5"/>
    <x v="2"/>
    <s v="010603"/>
    <x v="1"/>
  </r>
  <r>
    <s v="GERMANY"/>
    <x v="5"/>
    <x v="3"/>
    <s v="010604"/>
    <x v="1"/>
  </r>
  <r>
    <s v="GERMANY"/>
    <x v="5"/>
    <x v="4"/>
    <s v="010605"/>
    <x v="1"/>
  </r>
  <r>
    <s v="GERMANY"/>
    <x v="6"/>
    <x v="0"/>
    <s v="010701"/>
    <x v="0"/>
  </r>
  <r>
    <s v="GERMANY"/>
    <x v="6"/>
    <x v="1"/>
    <s v="010702"/>
    <x v="1"/>
  </r>
  <r>
    <s v="GERMANY"/>
    <x v="6"/>
    <x v="2"/>
    <s v="010703"/>
    <x v="1"/>
  </r>
  <r>
    <s v="GERMANY"/>
    <x v="6"/>
    <x v="3"/>
    <s v="010704"/>
    <x v="1"/>
  </r>
  <r>
    <s v="GERMANY"/>
    <x v="6"/>
    <x v="4"/>
    <s v="010705"/>
    <x v="1"/>
  </r>
  <r>
    <s v="GERMANY"/>
    <x v="7"/>
    <x v="0"/>
    <s v="010801"/>
    <x v="0"/>
  </r>
  <r>
    <s v="GERMANY"/>
    <x v="7"/>
    <x v="1"/>
    <s v="010802"/>
    <x v="1"/>
  </r>
  <r>
    <s v="GERMANY"/>
    <x v="7"/>
    <x v="2"/>
    <s v="010803"/>
    <x v="1"/>
  </r>
  <r>
    <s v="GERMANY"/>
    <x v="7"/>
    <x v="3"/>
    <s v="010804"/>
    <x v="1"/>
  </r>
  <r>
    <s v="GERMANY"/>
    <x v="7"/>
    <x v="4"/>
    <s v="010805"/>
    <x v="1"/>
  </r>
  <r>
    <s v="GERMANY"/>
    <x v="8"/>
    <x v="0"/>
    <s v="010901"/>
    <x v="0"/>
  </r>
  <r>
    <s v="GERMANY"/>
    <x v="8"/>
    <x v="1"/>
    <s v="010902"/>
    <x v="1"/>
  </r>
  <r>
    <s v="GERMANY"/>
    <x v="8"/>
    <x v="2"/>
    <s v="010903"/>
    <x v="1"/>
  </r>
  <r>
    <s v="GERMANY"/>
    <x v="8"/>
    <x v="3"/>
    <s v="010904"/>
    <x v="1"/>
  </r>
  <r>
    <s v="GERMANY"/>
    <x v="8"/>
    <x v="4"/>
    <s v="010905"/>
    <x v="1"/>
  </r>
  <r>
    <s v="GERMANY"/>
    <x v="9"/>
    <x v="0"/>
    <s v="011001"/>
    <x v="0"/>
  </r>
  <r>
    <s v="GERMANY"/>
    <x v="9"/>
    <x v="1"/>
    <s v="011002"/>
    <x v="1"/>
  </r>
  <r>
    <s v="GERMANY"/>
    <x v="9"/>
    <x v="2"/>
    <s v="011003"/>
    <x v="1"/>
  </r>
  <r>
    <s v="GERMANY"/>
    <x v="9"/>
    <x v="3"/>
    <s v="011004"/>
    <x v="1"/>
  </r>
  <r>
    <s v="GERMANY"/>
    <x v="9"/>
    <x v="4"/>
    <s v="011005"/>
    <x v="1"/>
  </r>
  <r>
    <s v="GERMANY"/>
    <x v="10"/>
    <x v="0"/>
    <s v="011101"/>
    <x v="0"/>
  </r>
  <r>
    <s v="GERMANY"/>
    <x v="10"/>
    <x v="1"/>
    <s v="011102"/>
    <x v="1"/>
  </r>
  <r>
    <s v="GERMANY"/>
    <x v="10"/>
    <x v="2"/>
    <s v="011103"/>
    <x v="1"/>
  </r>
  <r>
    <s v="GERMANY"/>
    <x v="10"/>
    <x v="3"/>
    <s v="011104"/>
    <x v="1"/>
  </r>
  <r>
    <s v="GERMANY"/>
    <x v="10"/>
    <x v="4"/>
    <s v="011105"/>
    <x v="1"/>
  </r>
  <r>
    <s v="GERMANY"/>
    <x v="11"/>
    <x v="0"/>
    <s v="011201"/>
    <x v="0"/>
  </r>
  <r>
    <s v="GERMANY"/>
    <x v="11"/>
    <x v="1"/>
    <s v="011202"/>
    <x v="1"/>
  </r>
  <r>
    <s v="GERMANY"/>
    <x v="11"/>
    <x v="2"/>
    <s v="011203"/>
    <x v="1"/>
  </r>
  <r>
    <s v="GERMANY"/>
    <x v="11"/>
    <x v="3"/>
    <s v="011204"/>
    <x v="1"/>
  </r>
  <r>
    <s v="GERMANY"/>
    <x v="11"/>
    <x v="4"/>
    <s v="011205"/>
    <x v="1"/>
  </r>
  <r>
    <s v="GERMANY"/>
    <x v="12"/>
    <x v="0"/>
    <s v="011301"/>
    <x v="0"/>
  </r>
  <r>
    <s v="GERMANY"/>
    <x v="12"/>
    <x v="1"/>
    <s v="011302"/>
    <x v="1"/>
  </r>
  <r>
    <s v="GERMANY"/>
    <x v="12"/>
    <x v="2"/>
    <s v="011303"/>
    <x v="1"/>
  </r>
  <r>
    <s v="GERMANY"/>
    <x v="12"/>
    <x v="3"/>
    <s v="011304"/>
    <x v="1"/>
  </r>
  <r>
    <s v="GERMANY"/>
    <x v="12"/>
    <x v="4"/>
    <s v="011305"/>
    <x v="1"/>
  </r>
  <r>
    <s v="GERMANY"/>
    <x v="13"/>
    <x v="0"/>
    <s v="011401"/>
    <x v="0"/>
  </r>
  <r>
    <s v="GERMANY"/>
    <x v="13"/>
    <x v="1"/>
    <s v="011402"/>
    <x v="1"/>
  </r>
  <r>
    <s v="GERMANY"/>
    <x v="13"/>
    <x v="2"/>
    <s v="011403"/>
    <x v="1"/>
  </r>
  <r>
    <s v="GERMANY"/>
    <x v="13"/>
    <x v="3"/>
    <s v="011404"/>
    <x v="1"/>
  </r>
  <r>
    <s v="GERMANY"/>
    <x v="13"/>
    <x v="4"/>
    <s v="011405"/>
    <x v="1"/>
  </r>
  <r>
    <s v="GERMANY"/>
    <x v="14"/>
    <x v="0"/>
    <s v="011501"/>
    <x v="0"/>
  </r>
  <r>
    <s v="GERMANY"/>
    <x v="14"/>
    <x v="1"/>
    <s v="011502"/>
    <x v="1"/>
  </r>
  <r>
    <s v="GERMANY"/>
    <x v="14"/>
    <x v="2"/>
    <s v="011503"/>
    <x v="1"/>
  </r>
  <r>
    <s v="GERMANY"/>
    <x v="14"/>
    <x v="3"/>
    <s v="011504"/>
    <x v="1"/>
  </r>
  <r>
    <s v="GERMANY"/>
    <x v="14"/>
    <x v="4"/>
    <s v="011505"/>
    <x v="1"/>
  </r>
  <r>
    <s v="GERMANY"/>
    <x v="15"/>
    <x v="0"/>
    <s v="011601"/>
    <x v="0"/>
  </r>
  <r>
    <s v="GERMANY"/>
    <x v="15"/>
    <x v="1"/>
    <s v="011602"/>
    <x v="1"/>
  </r>
  <r>
    <s v="GERMANY"/>
    <x v="15"/>
    <x v="2"/>
    <s v="011603"/>
    <x v="1"/>
  </r>
  <r>
    <s v="GERMANY"/>
    <x v="15"/>
    <x v="3"/>
    <s v="011604"/>
    <x v="1"/>
  </r>
  <r>
    <s v="GERMANY"/>
    <x v="15"/>
    <x v="4"/>
    <s v="011605"/>
    <x v="1"/>
  </r>
  <r>
    <s v="UK"/>
    <x v="0"/>
    <x v="0"/>
    <s v="020101"/>
    <x v="0"/>
  </r>
  <r>
    <s v="UK"/>
    <x v="0"/>
    <x v="1"/>
    <s v="020102"/>
    <x v="1"/>
  </r>
  <r>
    <s v="UK"/>
    <x v="0"/>
    <x v="2"/>
    <s v="020103"/>
    <x v="1"/>
  </r>
  <r>
    <s v="UK"/>
    <x v="0"/>
    <x v="3"/>
    <s v="020104"/>
    <x v="1"/>
  </r>
  <r>
    <s v="UK"/>
    <x v="0"/>
    <x v="4"/>
    <s v="020105"/>
    <x v="1"/>
  </r>
  <r>
    <s v="UK"/>
    <x v="1"/>
    <x v="0"/>
    <s v="020201"/>
    <x v="0"/>
  </r>
  <r>
    <s v="UK"/>
    <x v="1"/>
    <x v="1"/>
    <s v="020202"/>
    <x v="1"/>
  </r>
  <r>
    <s v="UK"/>
    <x v="1"/>
    <x v="2"/>
    <s v="020203"/>
    <x v="1"/>
  </r>
  <r>
    <s v="UK"/>
    <x v="1"/>
    <x v="3"/>
    <s v="020204"/>
    <x v="1"/>
  </r>
  <r>
    <s v="UK"/>
    <x v="1"/>
    <x v="4"/>
    <s v="020205"/>
    <x v="1"/>
  </r>
  <r>
    <s v="UK"/>
    <x v="2"/>
    <x v="0"/>
    <s v="020301"/>
    <x v="0"/>
  </r>
  <r>
    <s v="UK"/>
    <x v="2"/>
    <x v="1"/>
    <s v="020302"/>
    <x v="1"/>
  </r>
  <r>
    <s v="UK"/>
    <x v="2"/>
    <x v="2"/>
    <s v="020303"/>
    <x v="1"/>
  </r>
  <r>
    <s v="UK"/>
    <x v="2"/>
    <x v="3"/>
    <s v="020304"/>
    <x v="1"/>
  </r>
  <r>
    <s v="UK"/>
    <x v="2"/>
    <x v="4"/>
    <s v="020305"/>
    <x v="1"/>
  </r>
  <r>
    <s v="UK"/>
    <x v="3"/>
    <x v="0"/>
    <s v="020401"/>
    <x v="0"/>
  </r>
  <r>
    <s v="UK"/>
    <x v="3"/>
    <x v="1"/>
    <s v="020402"/>
    <x v="1"/>
  </r>
  <r>
    <s v="UK"/>
    <x v="3"/>
    <x v="2"/>
    <s v="020403"/>
    <x v="1"/>
  </r>
  <r>
    <s v="UK"/>
    <x v="3"/>
    <x v="3"/>
    <s v="020404"/>
    <x v="1"/>
  </r>
  <r>
    <s v="UK"/>
    <x v="3"/>
    <x v="4"/>
    <s v="020405"/>
    <x v="1"/>
  </r>
  <r>
    <s v="UK"/>
    <x v="4"/>
    <x v="0"/>
    <s v="020501"/>
    <x v="0"/>
  </r>
  <r>
    <s v="UK"/>
    <x v="4"/>
    <x v="1"/>
    <s v="020502"/>
    <x v="1"/>
  </r>
  <r>
    <s v="UK"/>
    <x v="4"/>
    <x v="2"/>
    <s v="020503"/>
    <x v="1"/>
  </r>
  <r>
    <s v="UK"/>
    <x v="4"/>
    <x v="3"/>
    <s v="020504"/>
    <x v="1"/>
  </r>
  <r>
    <s v="UK"/>
    <x v="4"/>
    <x v="4"/>
    <s v="020505"/>
    <x v="1"/>
  </r>
  <r>
    <s v="UK"/>
    <x v="5"/>
    <x v="0"/>
    <s v="020601"/>
    <x v="0"/>
  </r>
  <r>
    <s v="UK"/>
    <x v="5"/>
    <x v="1"/>
    <s v="020602"/>
    <x v="1"/>
  </r>
  <r>
    <s v="UK"/>
    <x v="5"/>
    <x v="2"/>
    <s v="020603"/>
    <x v="1"/>
  </r>
  <r>
    <s v="UK"/>
    <x v="5"/>
    <x v="3"/>
    <s v="020604"/>
    <x v="1"/>
  </r>
  <r>
    <s v="UK"/>
    <x v="5"/>
    <x v="4"/>
    <s v="020605"/>
    <x v="1"/>
  </r>
  <r>
    <s v="UK"/>
    <x v="6"/>
    <x v="0"/>
    <s v="020701"/>
    <x v="0"/>
  </r>
  <r>
    <s v="UK"/>
    <x v="6"/>
    <x v="1"/>
    <s v="020702"/>
    <x v="1"/>
  </r>
  <r>
    <s v="UK"/>
    <x v="6"/>
    <x v="2"/>
    <s v="020703"/>
    <x v="1"/>
  </r>
  <r>
    <s v="UK"/>
    <x v="6"/>
    <x v="3"/>
    <s v="020704"/>
    <x v="1"/>
  </r>
  <r>
    <s v="UK"/>
    <x v="6"/>
    <x v="4"/>
    <s v="020705"/>
    <x v="1"/>
  </r>
  <r>
    <s v="UK"/>
    <x v="7"/>
    <x v="0"/>
    <s v="020801"/>
    <x v="0"/>
  </r>
  <r>
    <s v="UK"/>
    <x v="7"/>
    <x v="1"/>
    <s v="020802"/>
    <x v="1"/>
  </r>
  <r>
    <s v="UK"/>
    <x v="7"/>
    <x v="2"/>
    <s v="020803"/>
    <x v="1"/>
  </r>
  <r>
    <s v="UK"/>
    <x v="7"/>
    <x v="3"/>
    <s v="020804"/>
    <x v="1"/>
  </r>
  <r>
    <s v="UK"/>
    <x v="7"/>
    <x v="4"/>
    <s v="020805"/>
    <x v="1"/>
  </r>
  <r>
    <s v="UK"/>
    <x v="8"/>
    <x v="0"/>
    <s v="020901"/>
    <x v="0"/>
  </r>
  <r>
    <s v="UK"/>
    <x v="8"/>
    <x v="1"/>
    <s v="020902"/>
    <x v="1"/>
  </r>
  <r>
    <s v="UK"/>
    <x v="8"/>
    <x v="2"/>
    <s v="020903"/>
    <x v="1"/>
  </r>
  <r>
    <s v="UK"/>
    <x v="8"/>
    <x v="3"/>
    <s v="020904"/>
    <x v="1"/>
  </r>
  <r>
    <s v="UK"/>
    <x v="8"/>
    <x v="4"/>
    <s v="020905"/>
    <x v="1"/>
  </r>
  <r>
    <s v="UK"/>
    <x v="9"/>
    <x v="0"/>
    <s v="021001"/>
    <x v="0"/>
  </r>
  <r>
    <s v="UK"/>
    <x v="9"/>
    <x v="1"/>
    <s v="021002"/>
    <x v="1"/>
  </r>
  <r>
    <s v="UK"/>
    <x v="9"/>
    <x v="2"/>
    <s v="021003"/>
    <x v="1"/>
  </r>
  <r>
    <s v="UK"/>
    <x v="9"/>
    <x v="3"/>
    <s v="021004"/>
    <x v="1"/>
  </r>
  <r>
    <s v="UK"/>
    <x v="9"/>
    <x v="4"/>
    <s v="021005"/>
    <x v="1"/>
  </r>
  <r>
    <s v="UK"/>
    <x v="10"/>
    <x v="0"/>
    <s v="021101"/>
    <x v="0"/>
  </r>
  <r>
    <s v="UK"/>
    <x v="10"/>
    <x v="1"/>
    <s v="021102"/>
    <x v="1"/>
  </r>
  <r>
    <s v="UK"/>
    <x v="10"/>
    <x v="2"/>
    <s v="021103"/>
    <x v="1"/>
  </r>
  <r>
    <s v="UK"/>
    <x v="10"/>
    <x v="3"/>
    <s v="021104"/>
    <x v="1"/>
  </r>
  <r>
    <s v="UK"/>
    <x v="10"/>
    <x v="4"/>
    <s v="021105"/>
    <x v="1"/>
  </r>
  <r>
    <s v="UK"/>
    <x v="11"/>
    <x v="0"/>
    <s v="021201"/>
    <x v="0"/>
  </r>
  <r>
    <s v="UK"/>
    <x v="11"/>
    <x v="1"/>
    <s v="021202"/>
    <x v="1"/>
  </r>
  <r>
    <s v="UK"/>
    <x v="11"/>
    <x v="2"/>
    <s v="021203"/>
    <x v="1"/>
  </r>
  <r>
    <s v="UK"/>
    <x v="11"/>
    <x v="3"/>
    <s v="021204"/>
    <x v="1"/>
  </r>
  <r>
    <s v="UK"/>
    <x v="11"/>
    <x v="4"/>
    <s v="021205"/>
    <x v="1"/>
  </r>
  <r>
    <s v="UK"/>
    <x v="12"/>
    <x v="0"/>
    <s v="021301"/>
    <x v="0"/>
  </r>
  <r>
    <s v="UK"/>
    <x v="12"/>
    <x v="1"/>
    <s v="021302"/>
    <x v="1"/>
  </r>
  <r>
    <s v="UK"/>
    <x v="12"/>
    <x v="2"/>
    <s v="021303"/>
    <x v="1"/>
  </r>
  <r>
    <s v="UK"/>
    <x v="12"/>
    <x v="3"/>
    <s v="021304"/>
    <x v="1"/>
  </r>
  <r>
    <s v="UK"/>
    <x v="12"/>
    <x v="4"/>
    <s v="021305"/>
    <x v="1"/>
  </r>
  <r>
    <s v="UK"/>
    <x v="13"/>
    <x v="0"/>
    <s v="021401"/>
    <x v="0"/>
  </r>
  <r>
    <s v="UK"/>
    <x v="13"/>
    <x v="1"/>
    <s v="021402"/>
    <x v="1"/>
  </r>
  <r>
    <s v="UK"/>
    <x v="13"/>
    <x v="2"/>
    <s v="021403"/>
    <x v="1"/>
  </r>
  <r>
    <s v="UK"/>
    <x v="13"/>
    <x v="3"/>
    <s v="021404"/>
    <x v="1"/>
  </r>
  <r>
    <s v="UK"/>
    <x v="13"/>
    <x v="4"/>
    <s v="021405"/>
    <x v="1"/>
  </r>
  <r>
    <s v="UK"/>
    <x v="14"/>
    <x v="0"/>
    <s v="021501"/>
    <x v="0"/>
  </r>
  <r>
    <s v="UK"/>
    <x v="14"/>
    <x v="1"/>
    <s v="021502"/>
    <x v="1"/>
  </r>
  <r>
    <s v="UK"/>
    <x v="14"/>
    <x v="2"/>
    <s v="021503"/>
    <x v="1"/>
  </r>
  <r>
    <s v="UK"/>
    <x v="14"/>
    <x v="3"/>
    <s v="021504"/>
    <x v="1"/>
  </r>
  <r>
    <s v="UK"/>
    <x v="14"/>
    <x v="4"/>
    <s v="021505"/>
    <x v="1"/>
  </r>
  <r>
    <s v="UK"/>
    <x v="15"/>
    <x v="0"/>
    <s v="021601"/>
    <x v="0"/>
  </r>
  <r>
    <s v="UK"/>
    <x v="15"/>
    <x v="1"/>
    <s v="021602"/>
    <x v="1"/>
  </r>
  <r>
    <s v="UK"/>
    <x v="15"/>
    <x v="2"/>
    <s v="021603"/>
    <x v="1"/>
  </r>
  <r>
    <s v="UK"/>
    <x v="15"/>
    <x v="3"/>
    <s v="021604"/>
    <x v="1"/>
  </r>
  <r>
    <s v="UK"/>
    <x v="15"/>
    <x v="4"/>
    <s v="021605"/>
    <x v="1"/>
  </r>
  <r>
    <s v="USA"/>
    <x v="0"/>
    <x v="0"/>
    <s v="030101"/>
    <x v="0"/>
  </r>
  <r>
    <s v="USA"/>
    <x v="0"/>
    <x v="1"/>
    <s v="030102"/>
    <x v="1"/>
  </r>
  <r>
    <s v="USA"/>
    <x v="0"/>
    <x v="2"/>
    <s v="030103"/>
    <x v="1"/>
  </r>
  <r>
    <s v="USA"/>
    <x v="0"/>
    <x v="3"/>
    <s v="030104"/>
    <x v="1"/>
  </r>
  <r>
    <s v="USA"/>
    <x v="0"/>
    <x v="4"/>
    <s v="030105"/>
    <x v="1"/>
  </r>
  <r>
    <s v="USA"/>
    <x v="1"/>
    <x v="0"/>
    <s v="030201"/>
    <x v="0"/>
  </r>
  <r>
    <s v="USA"/>
    <x v="1"/>
    <x v="1"/>
    <s v="030202"/>
    <x v="1"/>
  </r>
  <r>
    <s v="USA"/>
    <x v="1"/>
    <x v="2"/>
    <s v="030203"/>
    <x v="1"/>
  </r>
  <r>
    <s v="USA"/>
    <x v="1"/>
    <x v="3"/>
    <s v="030204"/>
    <x v="1"/>
  </r>
  <r>
    <s v="USA"/>
    <x v="1"/>
    <x v="4"/>
    <s v="030205"/>
    <x v="1"/>
  </r>
  <r>
    <s v="USA"/>
    <x v="2"/>
    <x v="0"/>
    <s v="030301"/>
    <x v="0"/>
  </r>
  <r>
    <s v="USA"/>
    <x v="2"/>
    <x v="1"/>
    <s v="030302"/>
    <x v="1"/>
  </r>
  <r>
    <s v="USA"/>
    <x v="2"/>
    <x v="2"/>
    <s v="030303"/>
    <x v="1"/>
  </r>
  <r>
    <s v="USA"/>
    <x v="2"/>
    <x v="3"/>
    <s v="030304"/>
    <x v="1"/>
  </r>
  <r>
    <s v="USA"/>
    <x v="2"/>
    <x v="4"/>
    <s v="030305"/>
    <x v="1"/>
  </r>
  <r>
    <s v="USA"/>
    <x v="3"/>
    <x v="0"/>
    <s v="030401"/>
    <x v="0"/>
  </r>
  <r>
    <s v="USA"/>
    <x v="3"/>
    <x v="1"/>
    <s v="030402"/>
    <x v="1"/>
  </r>
  <r>
    <s v="USA"/>
    <x v="3"/>
    <x v="2"/>
    <s v="030403"/>
    <x v="1"/>
  </r>
  <r>
    <s v="USA"/>
    <x v="3"/>
    <x v="3"/>
    <s v="030404"/>
    <x v="1"/>
  </r>
  <r>
    <s v="USA"/>
    <x v="3"/>
    <x v="4"/>
    <s v="030405"/>
    <x v="1"/>
  </r>
  <r>
    <s v="USA"/>
    <x v="4"/>
    <x v="0"/>
    <s v="030501"/>
    <x v="0"/>
  </r>
  <r>
    <s v="USA"/>
    <x v="4"/>
    <x v="1"/>
    <s v="030502"/>
    <x v="1"/>
  </r>
  <r>
    <s v="USA"/>
    <x v="4"/>
    <x v="2"/>
    <s v="030503"/>
    <x v="1"/>
  </r>
  <r>
    <s v="USA"/>
    <x v="4"/>
    <x v="3"/>
    <s v="030504"/>
    <x v="1"/>
  </r>
  <r>
    <s v="USA"/>
    <x v="4"/>
    <x v="4"/>
    <s v="030505"/>
    <x v="1"/>
  </r>
  <r>
    <s v="USA"/>
    <x v="5"/>
    <x v="0"/>
    <s v="030601"/>
    <x v="0"/>
  </r>
  <r>
    <s v="USA"/>
    <x v="5"/>
    <x v="1"/>
    <s v="030602"/>
    <x v="1"/>
  </r>
  <r>
    <s v="USA"/>
    <x v="5"/>
    <x v="2"/>
    <s v="030603"/>
    <x v="1"/>
  </r>
  <r>
    <s v="USA"/>
    <x v="5"/>
    <x v="3"/>
    <s v="030604"/>
    <x v="1"/>
  </r>
  <r>
    <s v="USA"/>
    <x v="5"/>
    <x v="4"/>
    <s v="030605"/>
    <x v="1"/>
  </r>
  <r>
    <s v="USA"/>
    <x v="6"/>
    <x v="0"/>
    <s v="030701"/>
    <x v="0"/>
  </r>
  <r>
    <s v="USA"/>
    <x v="6"/>
    <x v="1"/>
    <s v="030702"/>
    <x v="1"/>
  </r>
  <r>
    <s v="USA"/>
    <x v="6"/>
    <x v="2"/>
    <s v="030703"/>
    <x v="1"/>
  </r>
  <r>
    <s v="USA"/>
    <x v="6"/>
    <x v="3"/>
    <s v="030704"/>
    <x v="1"/>
  </r>
  <r>
    <s v="USA"/>
    <x v="6"/>
    <x v="4"/>
    <s v="030705"/>
    <x v="1"/>
  </r>
  <r>
    <s v="USA"/>
    <x v="7"/>
    <x v="0"/>
    <s v="030801"/>
    <x v="0"/>
  </r>
  <r>
    <s v="USA"/>
    <x v="7"/>
    <x v="1"/>
    <s v="030802"/>
    <x v="1"/>
  </r>
  <r>
    <s v="USA"/>
    <x v="7"/>
    <x v="2"/>
    <s v="030803"/>
    <x v="1"/>
  </r>
  <r>
    <s v="USA"/>
    <x v="7"/>
    <x v="3"/>
    <s v="030804"/>
    <x v="1"/>
  </r>
  <r>
    <s v="USA"/>
    <x v="7"/>
    <x v="4"/>
    <s v="030805"/>
    <x v="1"/>
  </r>
  <r>
    <s v="USA"/>
    <x v="8"/>
    <x v="0"/>
    <s v="030901"/>
    <x v="0"/>
  </r>
  <r>
    <s v="USA"/>
    <x v="8"/>
    <x v="1"/>
    <s v="030902"/>
    <x v="1"/>
  </r>
  <r>
    <s v="USA"/>
    <x v="8"/>
    <x v="2"/>
    <s v="030903"/>
    <x v="1"/>
  </r>
  <r>
    <s v="USA"/>
    <x v="8"/>
    <x v="3"/>
    <s v="030904"/>
    <x v="1"/>
  </r>
  <r>
    <s v="USA"/>
    <x v="8"/>
    <x v="4"/>
    <s v="030905"/>
    <x v="1"/>
  </r>
  <r>
    <s v="USA"/>
    <x v="9"/>
    <x v="0"/>
    <s v="031001"/>
    <x v="0"/>
  </r>
  <r>
    <s v="USA"/>
    <x v="9"/>
    <x v="1"/>
    <s v="031002"/>
    <x v="1"/>
  </r>
  <r>
    <s v="USA"/>
    <x v="9"/>
    <x v="2"/>
    <s v="031003"/>
    <x v="1"/>
  </r>
  <r>
    <s v="USA"/>
    <x v="9"/>
    <x v="3"/>
    <s v="031004"/>
    <x v="1"/>
  </r>
  <r>
    <s v="USA"/>
    <x v="9"/>
    <x v="4"/>
    <s v="031005"/>
    <x v="1"/>
  </r>
  <r>
    <s v="USA"/>
    <x v="10"/>
    <x v="0"/>
    <s v="031101"/>
    <x v="0"/>
  </r>
  <r>
    <s v="USA"/>
    <x v="10"/>
    <x v="1"/>
    <s v="031102"/>
    <x v="1"/>
  </r>
  <r>
    <s v="USA"/>
    <x v="10"/>
    <x v="2"/>
    <s v="031103"/>
    <x v="1"/>
  </r>
  <r>
    <s v="USA"/>
    <x v="10"/>
    <x v="3"/>
    <s v="031104"/>
    <x v="1"/>
  </r>
  <r>
    <s v="USA"/>
    <x v="10"/>
    <x v="4"/>
    <s v="031105"/>
    <x v="1"/>
  </r>
  <r>
    <s v="USA"/>
    <x v="11"/>
    <x v="0"/>
    <s v="031201"/>
    <x v="0"/>
  </r>
  <r>
    <s v="USA"/>
    <x v="11"/>
    <x v="1"/>
    <s v="031202"/>
    <x v="1"/>
  </r>
  <r>
    <s v="USA"/>
    <x v="11"/>
    <x v="2"/>
    <s v="031203"/>
    <x v="1"/>
  </r>
  <r>
    <s v="USA"/>
    <x v="11"/>
    <x v="3"/>
    <s v="031204"/>
    <x v="1"/>
  </r>
  <r>
    <s v="USA"/>
    <x v="11"/>
    <x v="4"/>
    <s v="031205"/>
    <x v="1"/>
  </r>
  <r>
    <s v="USA"/>
    <x v="12"/>
    <x v="0"/>
    <s v="031301"/>
    <x v="0"/>
  </r>
  <r>
    <s v="USA"/>
    <x v="12"/>
    <x v="1"/>
    <s v="031302"/>
    <x v="1"/>
  </r>
  <r>
    <s v="USA"/>
    <x v="12"/>
    <x v="2"/>
    <s v="031303"/>
    <x v="1"/>
  </r>
  <r>
    <s v="USA"/>
    <x v="12"/>
    <x v="3"/>
    <s v="031304"/>
    <x v="1"/>
  </r>
  <r>
    <s v="USA"/>
    <x v="12"/>
    <x v="4"/>
    <s v="031305"/>
    <x v="1"/>
  </r>
  <r>
    <s v="USA"/>
    <x v="13"/>
    <x v="0"/>
    <s v="031401"/>
    <x v="0"/>
  </r>
  <r>
    <s v="USA"/>
    <x v="13"/>
    <x v="1"/>
    <s v="031402"/>
    <x v="1"/>
  </r>
  <r>
    <s v="USA"/>
    <x v="13"/>
    <x v="2"/>
    <s v="031403"/>
    <x v="1"/>
  </r>
  <r>
    <s v="USA"/>
    <x v="13"/>
    <x v="3"/>
    <s v="031404"/>
    <x v="1"/>
  </r>
  <r>
    <s v="USA"/>
    <x v="13"/>
    <x v="4"/>
    <s v="031405"/>
    <x v="1"/>
  </r>
  <r>
    <s v="USA"/>
    <x v="14"/>
    <x v="0"/>
    <s v="031501"/>
    <x v="0"/>
  </r>
  <r>
    <s v="USA"/>
    <x v="14"/>
    <x v="1"/>
    <s v="031502"/>
    <x v="1"/>
  </r>
  <r>
    <s v="USA"/>
    <x v="14"/>
    <x v="2"/>
    <s v="031503"/>
    <x v="1"/>
  </r>
  <r>
    <s v="USA"/>
    <x v="14"/>
    <x v="3"/>
    <s v="031504"/>
    <x v="1"/>
  </r>
  <r>
    <s v="USA"/>
    <x v="14"/>
    <x v="4"/>
    <s v="031505"/>
    <x v="1"/>
  </r>
  <r>
    <s v="USA"/>
    <x v="15"/>
    <x v="0"/>
    <s v="031601"/>
    <x v="0"/>
  </r>
  <r>
    <s v="USA"/>
    <x v="15"/>
    <x v="1"/>
    <s v="031602"/>
    <x v="1"/>
  </r>
  <r>
    <s v="USA"/>
    <x v="15"/>
    <x v="2"/>
    <s v="031603"/>
    <x v="1"/>
  </r>
  <r>
    <s v="USA"/>
    <x v="15"/>
    <x v="3"/>
    <s v="031604"/>
    <x v="1"/>
  </r>
  <r>
    <s v="USA"/>
    <x v="15"/>
    <x v="4"/>
    <s v="031605"/>
    <x v="1"/>
  </r>
  <r>
    <s v="CHINA"/>
    <x v="0"/>
    <x v="0"/>
    <s v="040101"/>
    <x v="0"/>
  </r>
  <r>
    <s v="CHINA"/>
    <x v="0"/>
    <x v="1"/>
    <s v="040102"/>
    <x v="1"/>
  </r>
  <r>
    <s v="CHINA"/>
    <x v="0"/>
    <x v="2"/>
    <s v="040103"/>
    <x v="1"/>
  </r>
  <r>
    <s v="CHINA"/>
    <x v="0"/>
    <x v="3"/>
    <s v="040104"/>
    <x v="1"/>
  </r>
  <r>
    <s v="CHINA"/>
    <x v="0"/>
    <x v="4"/>
    <s v="040105"/>
    <x v="1"/>
  </r>
  <r>
    <s v="CHINA"/>
    <x v="1"/>
    <x v="0"/>
    <s v="040201"/>
    <x v="0"/>
  </r>
  <r>
    <s v="CHINA"/>
    <x v="1"/>
    <x v="1"/>
    <s v="040202"/>
    <x v="1"/>
  </r>
  <r>
    <s v="CHINA"/>
    <x v="1"/>
    <x v="2"/>
    <s v="040203"/>
    <x v="1"/>
  </r>
  <r>
    <s v="CHINA"/>
    <x v="1"/>
    <x v="3"/>
    <s v="040204"/>
    <x v="1"/>
  </r>
  <r>
    <s v="CHINA"/>
    <x v="1"/>
    <x v="4"/>
    <s v="040205"/>
    <x v="1"/>
  </r>
  <r>
    <s v="CHINA"/>
    <x v="2"/>
    <x v="0"/>
    <s v="040301"/>
    <x v="0"/>
  </r>
  <r>
    <s v="CHINA"/>
    <x v="2"/>
    <x v="1"/>
    <s v="040302"/>
    <x v="1"/>
  </r>
  <r>
    <s v="CHINA"/>
    <x v="2"/>
    <x v="2"/>
    <s v="040303"/>
    <x v="1"/>
  </r>
  <r>
    <s v="CHINA"/>
    <x v="2"/>
    <x v="3"/>
    <s v="040304"/>
    <x v="1"/>
  </r>
  <r>
    <s v="CHINA"/>
    <x v="2"/>
    <x v="4"/>
    <s v="040305"/>
    <x v="1"/>
  </r>
  <r>
    <s v="CHINA"/>
    <x v="3"/>
    <x v="0"/>
    <s v="040401"/>
    <x v="0"/>
  </r>
  <r>
    <s v="CHINA"/>
    <x v="3"/>
    <x v="1"/>
    <s v="040402"/>
    <x v="1"/>
  </r>
  <r>
    <s v="CHINA"/>
    <x v="3"/>
    <x v="2"/>
    <s v="040403"/>
    <x v="1"/>
  </r>
  <r>
    <s v="CHINA"/>
    <x v="3"/>
    <x v="3"/>
    <s v="040404"/>
    <x v="1"/>
  </r>
  <r>
    <s v="CHINA"/>
    <x v="3"/>
    <x v="4"/>
    <s v="040405"/>
    <x v="1"/>
  </r>
  <r>
    <s v="CHINA"/>
    <x v="4"/>
    <x v="0"/>
    <s v="040501"/>
    <x v="0"/>
  </r>
  <r>
    <s v="CHINA"/>
    <x v="4"/>
    <x v="1"/>
    <s v="040502"/>
    <x v="1"/>
  </r>
  <r>
    <s v="CHINA"/>
    <x v="4"/>
    <x v="2"/>
    <s v="040503"/>
    <x v="1"/>
  </r>
  <r>
    <s v="CHINA"/>
    <x v="4"/>
    <x v="3"/>
    <s v="040504"/>
    <x v="1"/>
  </r>
  <r>
    <s v="CHINA"/>
    <x v="4"/>
    <x v="4"/>
    <s v="040505"/>
    <x v="1"/>
  </r>
  <r>
    <s v="CHINA"/>
    <x v="5"/>
    <x v="0"/>
    <s v="040601"/>
    <x v="0"/>
  </r>
  <r>
    <s v="CHINA"/>
    <x v="5"/>
    <x v="1"/>
    <s v="040602"/>
    <x v="1"/>
  </r>
  <r>
    <s v="CHINA"/>
    <x v="5"/>
    <x v="2"/>
    <s v="040603"/>
    <x v="1"/>
  </r>
  <r>
    <s v="CHINA"/>
    <x v="5"/>
    <x v="3"/>
    <s v="040604"/>
    <x v="1"/>
  </r>
  <r>
    <s v="CHINA"/>
    <x v="5"/>
    <x v="4"/>
    <s v="040605"/>
    <x v="1"/>
  </r>
  <r>
    <s v="CHINA"/>
    <x v="6"/>
    <x v="0"/>
    <s v="040701"/>
    <x v="0"/>
  </r>
  <r>
    <s v="CHINA"/>
    <x v="6"/>
    <x v="1"/>
    <s v="040702"/>
    <x v="1"/>
  </r>
  <r>
    <s v="CHINA"/>
    <x v="6"/>
    <x v="2"/>
    <s v="040703"/>
    <x v="1"/>
  </r>
  <r>
    <s v="CHINA"/>
    <x v="6"/>
    <x v="3"/>
    <s v="040704"/>
    <x v="1"/>
  </r>
  <r>
    <s v="CHINA"/>
    <x v="6"/>
    <x v="4"/>
    <s v="040705"/>
    <x v="1"/>
  </r>
  <r>
    <s v="CHINA"/>
    <x v="7"/>
    <x v="0"/>
    <s v="040801"/>
    <x v="0"/>
  </r>
  <r>
    <s v="CHINA"/>
    <x v="7"/>
    <x v="1"/>
    <s v="040802"/>
    <x v="1"/>
  </r>
  <r>
    <s v="CHINA"/>
    <x v="7"/>
    <x v="2"/>
    <s v="040803"/>
    <x v="1"/>
  </r>
  <r>
    <s v="CHINA"/>
    <x v="7"/>
    <x v="3"/>
    <s v="040804"/>
    <x v="1"/>
  </r>
  <r>
    <s v="CHINA"/>
    <x v="7"/>
    <x v="4"/>
    <s v="040805"/>
    <x v="1"/>
  </r>
  <r>
    <s v="CHINA"/>
    <x v="8"/>
    <x v="0"/>
    <s v="040901"/>
    <x v="0"/>
  </r>
  <r>
    <s v="CHINA"/>
    <x v="8"/>
    <x v="1"/>
    <s v="040902"/>
    <x v="1"/>
  </r>
  <r>
    <s v="CHINA"/>
    <x v="8"/>
    <x v="2"/>
    <s v="040903"/>
    <x v="1"/>
  </r>
  <r>
    <s v="CHINA"/>
    <x v="8"/>
    <x v="3"/>
    <s v="040904"/>
    <x v="1"/>
  </r>
  <r>
    <s v="CHINA"/>
    <x v="8"/>
    <x v="4"/>
    <s v="040905"/>
    <x v="1"/>
  </r>
  <r>
    <s v="CHINA"/>
    <x v="9"/>
    <x v="0"/>
    <s v="041001"/>
    <x v="0"/>
  </r>
  <r>
    <s v="CHINA"/>
    <x v="9"/>
    <x v="1"/>
    <s v="041002"/>
    <x v="1"/>
  </r>
  <r>
    <s v="CHINA"/>
    <x v="9"/>
    <x v="2"/>
    <s v="041003"/>
    <x v="1"/>
  </r>
  <r>
    <s v="CHINA"/>
    <x v="9"/>
    <x v="3"/>
    <s v="041004"/>
    <x v="1"/>
  </r>
  <r>
    <s v="CHINA"/>
    <x v="9"/>
    <x v="4"/>
    <s v="041005"/>
    <x v="1"/>
  </r>
  <r>
    <s v="CHINA"/>
    <x v="10"/>
    <x v="0"/>
    <s v="041101"/>
    <x v="0"/>
  </r>
  <r>
    <s v="CHINA"/>
    <x v="10"/>
    <x v="1"/>
    <s v="041102"/>
    <x v="1"/>
  </r>
  <r>
    <s v="CHINA"/>
    <x v="10"/>
    <x v="2"/>
    <s v="041103"/>
    <x v="1"/>
  </r>
  <r>
    <s v="CHINA"/>
    <x v="10"/>
    <x v="3"/>
    <s v="041104"/>
    <x v="1"/>
  </r>
  <r>
    <s v="CHINA"/>
    <x v="10"/>
    <x v="4"/>
    <s v="041105"/>
    <x v="1"/>
  </r>
  <r>
    <s v="CHINA"/>
    <x v="11"/>
    <x v="0"/>
    <s v="041201"/>
    <x v="0"/>
  </r>
  <r>
    <s v="CHINA"/>
    <x v="11"/>
    <x v="1"/>
    <s v="041202"/>
    <x v="1"/>
  </r>
  <r>
    <s v="CHINA"/>
    <x v="11"/>
    <x v="2"/>
    <s v="041203"/>
    <x v="1"/>
  </r>
  <r>
    <s v="CHINA"/>
    <x v="11"/>
    <x v="3"/>
    <s v="041204"/>
    <x v="1"/>
  </r>
  <r>
    <s v="CHINA"/>
    <x v="11"/>
    <x v="4"/>
    <s v="041205"/>
    <x v="1"/>
  </r>
  <r>
    <s v="CHINA"/>
    <x v="12"/>
    <x v="0"/>
    <s v="041301"/>
    <x v="0"/>
  </r>
  <r>
    <s v="CHINA"/>
    <x v="12"/>
    <x v="1"/>
    <s v="041302"/>
    <x v="1"/>
  </r>
  <r>
    <s v="CHINA"/>
    <x v="12"/>
    <x v="2"/>
    <s v="041303"/>
    <x v="1"/>
  </r>
  <r>
    <s v="CHINA"/>
    <x v="12"/>
    <x v="3"/>
    <s v="041304"/>
    <x v="1"/>
  </r>
  <r>
    <s v="CHINA"/>
    <x v="12"/>
    <x v="4"/>
    <s v="041305"/>
    <x v="1"/>
  </r>
  <r>
    <s v="CHINA"/>
    <x v="13"/>
    <x v="0"/>
    <s v="041401"/>
    <x v="0"/>
  </r>
  <r>
    <s v="CHINA"/>
    <x v="13"/>
    <x v="1"/>
    <s v="041402"/>
    <x v="1"/>
  </r>
  <r>
    <s v="CHINA"/>
    <x v="13"/>
    <x v="2"/>
    <s v="041403"/>
    <x v="1"/>
  </r>
  <r>
    <s v="CHINA"/>
    <x v="13"/>
    <x v="3"/>
    <s v="041404"/>
    <x v="1"/>
  </r>
  <r>
    <s v="CHINA"/>
    <x v="13"/>
    <x v="4"/>
    <s v="041405"/>
    <x v="1"/>
  </r>
  <r>
    <s v="CHINA"/>
    <x v="14"/>
    <x v="0"/>
    <s v="041501"/>
    <x v="0"/>
  </r>
  <r>
    <s v="CHINA"/>
    <x v="14"/>
    <x v="1"/>
    <s v="041502"/>
    <x v="1"/>
  </r>
  <r>
    <s v="CHINA"/>
    <x v="14"/>
    <x v="2"/>
    <s v="041503"/>
    <x v="1"/>
  </r>
  <r>
    <s v="CHINA"/>
    <x v="14"/>
    <x v="3"/>
    <s v="041504"/>
    <x v="1"/>
  </r>
  <r>
    <s v="CHINA"/>
    <x v="14"/>
    <x v="4"/>
    <s v="041505"/>
    <x v="1"/>
  </r>
  <r>
    <s v="CHINA"/>
    <x v="15"/>
    <x v="0"/>
    <s v="041601"/>
    <x v="0"/>
  </r>
  <r>
    <s v="CHINA"/>
    <x v="15"/>
    <x v="1"/>
    <s v="041602"/>
    <x v="1"/>
  </r>
  <r>
    <s v="CHINA"/>
    <x v="15"/>
    <x v="2"/>
    <s v="041603"/>
    <x v="1"/>
  </r>
  <r>
    <s v="CHINA"/>
    <x v="15"/>
    <x v="3"/>
    <s v="041604"/>
    <x v="1"/>
  </r>
  <r>
    <s v="CHINA"/>
    <x v="15"/>
    <x v="4"/>
    <s v="041605"/>
    <x v="1"/>
  </r>
  <r>
    <s v="RUSSIA"/>
    <x v="0"/>
    <x v="0"/>
    <s v="050101"/>
    <x v="0"/>
  </r>
  <r>
    <s v="RUSSIA"/>
    <x v="0"/>
    <x v="1"/>
    <s v="050102"/>
    <x v="1"/>
  </r>
  <r>
    <s v="RUSSIA"/>
    <x v="0"/>
    <x v="2"/>
    <s v="050103"/>
    <x v="1"/>
  </r>
  <r>
    <s v="RUSSIA"/>
    <x v="0"/>
    <x v="3"/>
    <s v="050104"/>
    <x v="1"/>
  </r>
  <r>
    <s v="RUSSIA"/>
    <x v="0"/>
    <x v="4"/>
    <s v="050105"/>
    <x v="1"/>
  </r>
  <r>
    <s v="RUSSIA"/>
    <x v="1"/>
    <x v="0"/>
    <s v="050201"/>
    <x v="0"/>
  </r>
  <r>
    <s v="RUSSIA"/>
    <x v="1"/>
    <x v="1"/>
    <s v="050202"/>
    <x v="1"/>
  </r>
  <r>
    <s v="RUSSIA"/>
    <x v="1"/>
    <x v="2"/>
    <s v="050203"/>
    <x v="1"/>
  </r>
  <r>
    <s v="RUSSIA"/>
    <x v="1"/>
    <x v="3"/>
    <s v="050204"/>
    <x v="1"/>
  </r>
  <r>
    <s v="RUSSIA"/>
    <x v="1"/>
    <x v="4"/>
    <s v="050205"/>
    <x v="1"/>
  </r>
  <r>
    <s v="RUSSIA"/>
    <x v="2"/>
    <x v="0"/>
    <s v="050301"/>
    <x v="0"/>
  </r>
  <r>
    <s v="RUSSIA"/>
    <x v="2"/>
    <x v="1"/>
    <s v="050302"/>
    <x v="1"/>
  </r>
  <r>
    <s v="RUSSIA"/>
    <x v="2"/>
    <x v="2"/>
    <s v="050303"/>
    <x v="1"/>
  </r>
  <r>
    <s v="RUSSIA"/>
    <x v="2"/>
    <x v="3"/>
    <s v="050304"/>
    <x v="1"/>
  </r>
  <r>
    <s v="RUSSIA"/>
    <x v="2"/>
    <x v="4"/>
    <s v="050305"/>
    <x v="1"/>
  </r>
  <r>
    <s v="RUSSIA"/>
    <x v="3"/>
    <x v="0"/>
    <s v="050401"/>
    <x v="0"/>
  </r>
  <r>
    <s v="RUSSIA"/>
    <x v="3"/>
    <x v="1"/>
    <s v="050402"/>
    <x v="1"/>
  </r>
  <r>
    <s v="RUSSIA"/>
    <x v="3"/>
    <x v="2"/>
    <s v="050403"/>
    <x v="1"/>
  </r>
  <r>
    <s v="RUSSIA"/>
    <x v="3"/>
    <x v="3"/>
    <s v="050404"/>
    <x v="1"/>
  </r>
  <r>
    <s v="RUSSIA"/>
    <x v="3"/>
    <x v="4"/>
    <s v="050405"/>
    <x v="1"/>
  </r>
  <r>
    <s v="RUSSIA"/>
    <x v="4"/>
    <x v="0"/>
    <s v="050501"/>
    <x v="0"/>
  </r>
  <r>
    <s v="RUSSIA"/>
    <x v="4"/>
    <x v="1"/>
    <s v="050502"/>
    <x v="1"/>
  </r>
  <r>
    <s v="RUSSIA"/>
    <x v="4"/>
    <x v="2"/>
    <s v="050503"/>
    <x v="1"/>
  </r>
  <r>
    <s v="RUSSIA"/>
    <x v="4"/>
    <x v="3"/>
    <s v="050504"/>
    <x v="1"/>
  </r>
  <r>
    <s v="RUSSIA"/>
    <x v="4"/>
    <x v="4"/>
    <s v="050505"/>
    <x v="1"/>
  </r>
  <r>
    <s v="RUSSIA"/>
    <x v="5"/>
    <x v="0"/>
    <s v="050601"/>
    <x v="0"/>
  </r>
  <r>
    <s v="RUSSIA"/>
    <x v="5"/>
    <x v="1"/>
    <s v="050602"/>
    <x v="1"/>
  </r>
  <r>
    <s v="RUSSIA"/>
    <x v="5"/>
    <x v="2"/>
    <s v="050603"/>
    <x v="1"/>
  </r>
  <r>
    <s v="RUSSIA"/>
    <x v="5"/>
    <x v="3"/>
    <s v="050604"/>
    <x v="1"/>
  </r>
  <r>
    <s v="RUSSIA"/>
    <x v="5"/>
    <x v="4"/>
    <s v="050605"/>
    <x v="1"/>
  </r>
  <r>
    <s v="RUSSIA"/>
    <x v="6"/>
    <x v="0"/>
    <s v="050701"/>
    <x v="0"/>
  </r>
  <r>
    <s v="RUSSIA"/>
    <x v="6"/>
    <x v="1"/>
    <s v="050702"/>
    <x v="1"/>
  </r>
  <r>
    <s v="RUSSIA"/>
    <x v="6"/>
    <x v="2"/>
    <s v="050703"/>
    <x v="1"/>
  </r>
  <r>
    <s v="RUSSIA"/>
    <x v="6"/>
    <x v="3"/>
    <s v="050704"/>
    <x v="1"/>
  </r>
  <r>
    <s v="RUSSIA"/>
    <x v="6"/>
    <x v="4"/>
    <s v="050705"/>
    <x v="1"/>
  </r>
  <r>
    <s v="RUSSIA"/>
    <x v="7"/>
    <x v="0"/>
    <s v="050801"/>
    <x v="0"/>
  </r>
  <r>
    <s v="RUSSIA"/>
    <x v="7"/>
    <x v="1"/>
    <s v="050802"/>
    <x v="1"/>
  </r>
  <r>
    <s v="RUSSIA"/>
    <x v="7"/>
    <x v="2"/>
    <s v="050803"/>
    <x v="1"/>
  </r>
  <r>
    <s v="RUSSIA"/>
    <x v="7"/>
    <x v="3"/>
    <s v="050804"/>
    <x v="1"/>
  </r>
  <r>
    <s v="RUSSIA"/>
    <x v="7"/>
    <x v="4"/>
    <s v="050805"/>
    <x v="1"/>
  </r>
  <r>
    <s v="RUSSIA"/>
    <x v="8"/>
    <x v="0"/>
    <s v="050901"/>
    <x v="0"/>
  </r>
  <r>
    <s v="RUSSIA"/>
    <x v="8"/>
    <x v="1"/>
    <s v="050902"/>
    <x v="1"/>
  </r>
  <r>
    <s v="RUSSIA"/>
    <x v="8"/>
    <x v="2"/>
    <s v="050903"/>
    <x v="1"/>
  </r>
  <r>
    <s v="RUSSIA"/>
    <x v="8"/>
    <x v="3"/>
    <s v="050904"/>
    <x v="1"/>
  </r>
  <r>
    <s v="RUSSIA"/>
    <x v="8"/>
    <x v="4"/>
    <s v="050905"/>
    <x v="1"/>
  </r>
  <r>
    <s v="RUSSIA"/>
    <x v="9"/>
    <x v="0"/>
    <s v="051001"/>
    <x v="0"/>
  </r>
  <r>
    <s v="RUSSIA"/>
    <x v="9"/>
    <x v="1"/>
    <s v="051002"/>
    <x v="1"/>
  </r>
  <r>
    <s v="RUSSIA"/>
    <x v="9"/>
    <x v="2"/>
    <s v="051003"/>
    <x v="1"/>
  </r>
  <r>
    <s v="RUSSIA"/>
    <x v="9"/>
    <x v="3"/>
    <s v="051004"/>
    <x v="1"/>
  </r>
  <r>
    <s v="RUSSIA"/>
    <x v="9"/>
    <x v="4"/>
    <s v="051005"/>
    <x v="1"/>
  </r>
  <r>
    <s v="RUSSIA"/>
    <x v="10"/>
    <x v="0"/>
    <s v="051101"/>
    <x v="0"/>
  </r>
  <r>
    <s v="RUSSIA"/>
    <x v="10"/>
    <x v="1"/>
    <s v="051102"/>
    <x v="1"/>
  </r>
  <r>
    <s v="RUSSIA"/>
    <x v="10"/>
    <x v="2"/>
    <s v="051103"/>
    <x v="1"/>
  </r>
  <r>
    <s v="RUSSIA"/>
    <x v="10"/>
    <x v="3"/>
    <s v="051104"/>
    <x v="1"/>
  </r>
  <r>
    <s v="RUSSIA"/>
    <x v="10"/>
    <x v="4"/>
    <s v="051105"/>
    <x v="1"/>
  </r>
  <r>
    <s v="RUSSIA"/>
    <x v="11"/>
    <x v="0"/>
    <s v="051201"/>
    <x v="0"/>
  </r>
  <r>
    <s v="RUSSIA"/>
    <x v="11"/>
    <x v="1"/>
    <s v="051202"/>
    <x v="1"/>
  </r>
  <r>
    <s v="RUSSIA"/>
    <x v="11"/>
    <x v="2"/>
    <s v="051203"/>
    <x v="1"/>
  </r>
  <r>
    <s v="RUSSIA"/>
    <x v="11"/>
    <x v="3"/>
    <s v="051204"/>
    <x v="1"/>
  </r>
  <r>
    <s v="RUSSIA"/>
    <x v="11"/>
    <x v="4"/>
    <s v="051205"/>
    <x v="1"/>
  </r>
  <r>
    <s v="RUSSIA"/>
    <x v="12"/>
    <x v="0"/>
    <s v="051301"/>
    <x v="0"/>
  </r>
  <r>
    <s v="RUSSIA"/>
    <x v="12"/>
    <x v="1"/>
    <s v="051302"/>
    <x v="1"/>
  </r>
  <r>
    <s v="RUSSIA"/>
    <x v="12"/>
    <x v="2"/>
    <s v="051303"/>
    <x v="1"/>
  </r>
  <r>
    <s v="RUSSIA"/>
    <x v="12"/>
    <x v="3"/>
    <s v="051304"/>
    <x v="1"/>
  </r>
  <r>
    <s v="RUSSIA"/>
    <x v="12"/>
    <x v="4"/>
    <s v="051305"/>
    <x v="1"/>
  </r>
  <r>
    <s v="RUSSIA"/>
    <x v="13"/>
    <x v="0"/>
    <s v="051401"/>
    <x v="0"/>
  </r>
  <r>
    <s v="RUSSIA"/>
    <x v="13"/>
    <x v="1"/>
    <s v="051402"/>
    <x v="1"/>
  </r>
  <r>
    <s v="RUSSIA"/>
    <x v="13"/>
    <x v="2"/>
    <s v="051403"/>
    <x v="1"/>
  </r>
  <r>
    <s v="RUSSIA"/>
    <x v="13"/>
    <x v="3"/>
    <s v="051404"/>
    <x v="1"/>
  </r>
  <r>
    <s v="RUSSIA"/>
    <x v="13"/>
    <x v="4"/>
    <s v="051405"/>
    <x v="1"/>
  </r>
  <r>
    <s v="RUSSIA"/>
    <x v="14"/>
    <x v="0"/>
    <s v="051501"/>
    <x v="0"/>
  </r>
  <r>
    <s v="RUSSIA"/>
    <x v="14"/>
    <x v="1"/>
    <s v="051502"/>
    <x v="1"/>
  </r>
  <r>
    <s v="RUSSIA"/>
    <x v="14"/>
    <x v="2"/>
    <s v="051503"/>
    <x v="1"/>
  </r>
  <r>
    <s v="RUSSIA"/>
    <x v="14"/>
    <x v="3"/>
    <s v="051504"/>
    <x v="1"/>
  </r>
  <r>
    <s v="RUSSIA"/>
    <x v="14"/>
    <x v="4"/>
    <s v="051505"/>
    <x v="1"/>
  </r>
  <r>
    <s v="RUSSIA"/>
    <x v="15"/>
    <x v="0"/>
    <s v="051601"/>
    <x v="0"/>
  </r>
  <r>
    <s v="RUSSIA"/>
    <x v="15"/>
    <x v="1"/>
    <s v="051602"/>
    <x v="1"/>
  </r>
  <r>
    <s v="RUSSIA"/>
    <x v="15"/>
    <x v="2"/>
    <s v="051603"/>
    <x v="1"/>
  </r>
  <r>
    <s v="RUSSIA"/>
    <x v="15"/>
    <x v="3"/>
    <s v="051604"/>
    <x v="1"/>
  </r>
  <r>
    <s v="RUSSIA"/>
    <x v="15"/>
    <x v="4"/>
    <s v="051605"/>
    <x v="1"/>
  </r>
  <r>
    <m/>
    <x v="16"/>
    <x v="5"/>
    <m/>
    <x v="2"/>
  </r>
  <r>
    <m/>
    <x v="16"/>
    <x v="5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WP Status Table" cacheId="21" applyNumberFormats="0" applyBorderFormats="0" applyFontFormats="0" applyPatternFormats="0" applyAlignmentFormats="0" applyWidthHeightFormats="1" dataCaption="Values" showMissing="0" updatedVersion="6" minRefreshableVersion="3" useAutoFormatting="1" itemPrintTitles="1" createdVersion="6" indent="0" compact="0" outline="1" outlineData="1" compactData="0" multipleFieldFilters="0" chartFormat="15">
  <location ref="B5:H23" firstHeaderRow="1" firstDataRow="2" firstDataCol="1" rowPageCount="1" colPageCount="1"/>
  <pivotFields count="6">
    <pivotField compact="0" subtotalTop="0" showAll="0" insertBlankRow="1"/>
    <pivotField axis="axisRow" compact="0" subtotalTop="0" showAll="0" insertBlankRow="1">
      <items count="38">
        <item m="1" x="34"/>
        <item m="1" x="24"/>
        <item m="1" x="23"/>
        <item m="1" x="18"/>
        <item m="1" x="17"/>
        <item m="1" x="19"/>
        <item m="1" x="21"/>
        <item m="1" x="22"/>
        <item m="1" x="29"/>
        <item m="1" x="25"/>
        <item m="1" x="26"/>
        <item m="1" x="28"/>
        <item m="1" x="36"/>
        <item m="1" x="35"/>
        <item m="1" x="20"/>
        <item m="1" x="31"/>
        <item m="1" x="33"/>
        <item m="1" x="32"/>
        <item m="1" x="30"/>
        <item m="1" x="27"/>
        <item x="5"/>
        <item x="6"/>
        <item x="7"/>
        <item x="8"/>
        <item x="9"/>
        <item x="10"/>
        <item x="11"/>
        <item x="12"/>
        <item x="0"/>
        <item x="1"/>
        <item x="2"/>
        <item x="3"/>
        <item x="13"/>
        <item x="14"/>
        <item x="15"/>
        <item x="4"/>
        <item x="16"/>
        <item t="default"/>
      </items>
    </pivotField>
    <pivotField axis="axisCol" compact="0">
      <items count="11">
        <item h="1" m="1" x="9"/>
        <item h="1" m="1" x="7"/>
        <item x="4"/>
        <item x="3"/>
        <item x="2"/>
        <item h="1" m="1" x="8"/>
        <item x="1"/>
        <item x="0"/>
        <item h="1" x="5"/>
        <item h="1" m="1" x="6"/>
        <item t="default"/>
      </items>
    </pivotField>
    <pivotField compact="0" showAll="0"/>
    <pivotField axis="axisPage" dataField="1" compact="0" multipleItemSelectionAllowed="1" showAll="0">
      <items count="4">
        <item x="0"/>
        <item h="1" x="1"/>
        <item h="1" x="2"/>
        <item t="default"/>
      </items>
    </pivotField>
    <pivotField compact="0" dragToRow="0" dragToCol="0" dragToPage="0" showAll="0"/>
  </pivotFields>
  <rowFields count="1">
    <field x="1"/>
  </rowFields>
  <rowItems count="17"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2"/>
  </colFields>
  <colItems count="6">
    <i>
      <x v="2"/>
    </i>
    <i>
      <x v="3"/>
    </i>
    <i>
      <x v="4"/>
    </i>
    <i>
      <x v="6"/>
    </i>
    <i>
      <x v="7"/>
    </i>
    <i t="grand">
      <x/>
    </i>
  </colItems>
  <pageFields count="1">
    <pageField fld="4" hier="-1"/>
  </pageFields>
  <dataFields count="1">
    <dataField name="WP Status Table" fld="4" subtotal="count" baseField="0" baseItem="0"/>
  </dataFields>
  <chartFormats count="13"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</chartFormats>
  <pivotTableStyleInfo name="PivotStyleLight1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WP Status Table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pivotTables/pivotTable2.xml><?xml version="1.0" encoding="utf-8"?>
<pivotTableDefinition xmlns="http://schemas.openxmlformats.org/spreadsheetml/2006/main" name="PivotTable9" cacheId="16" applyNumberFormats="0" applyBorderFormats="0" applyFontFormats="0" applyPatternFormats="0" applyAlignmentFormats="0" applyWidthHeightFormats="1" dataCaption="Values" showMissing="0" updatedVersion="6" minRefreshableVersion="3" useAutoFormatting="1" itemPrintTitles="1" createdVersion="6" indent="0" compact="0" outline="1" outlineData="1" compactData="0" multipleFieldFilters="0" chartFormat="14">
  <location ref="B58:H65" firstHeaderRow="1" firstDataRow="2" firstDataCol="1" rowPageCount="1" colPageCount="1"/>
  <pivotFields count="6">
    <pivotField axis="axisRow" compact="0" subtotalTop="0" showAll="0" insertBlankRow="1">
      <items count="7">
        <item x="0"/>
        <item x="1"/>
        <item x="2"/>
        <item x="5"/>
        <item x="3"/>
        <item x="4"/>
        <item t="default"/>
      </items>
    </pivotField>
    <pivotField compact="0" subtotalTop="0" showAll="0" insertBlankRow="1"/>
    <pivotField axis="axisCol" compact="0">
      <items count="10">
        <item h="1" m="1" x="8"/>
        <item h="1" m="1" x="7"/>
        <item x="4"/>
        <item x="3"/>
        <item x="2"/>
        <item x="1"/>
        <item x="0"/>
        <item h="1" x="5"/>
        <item h="1" m="1" x="6"/>
        <item t="default"/>
      </items>
    </pivotField>
    <pivotField compact="0" showAll="0"/>
    <pivotField axis="axisPage" dataField="1" compact="0" multipleItemSelectionAllowed="1" showAll="0">
      <items count="4">
        <item x="0"/>
        <item h="1" x="1"/>
        <item h="1" x="2"/>
        <item t="default"/>
      </items>
    </pivotField>
    <pivotField compact="0" dragToRow="0" dragToCol="0" dragToPage="0" showAll="0"/>
  </pivotFields>
  <rowFields count="1">
    <field x="0"/>
  </rowFields>
  <rowItems count="6">
    <i>
      <x/>
    </i>
    <i>
      <x v="1"/>
    </i>
    <i>
      <x v="2"/>
    </i>
    <i>
      <x v="4"/>
    </i>
    <i>
      <x v="5"/>
    </i>
    <i t="grand">
      <x/>
    </i>
  </rowItems>
  <colFields count="1">
    <field x="2"/>
  </colFields>
  <colItems count="6">
    <i>
      <x v="2"/>
    </i>
    <i>
      <x v="3"/>
    </i>
    <i>
      <x v="4"/>
    </i>
    <i>
      <x v="5"/>
    </i>
    <i>
      <x v="6"/>
    </i>
    <i t="grand">
      <x/>
    </i>
  </colItems>
  <pageFields count="1">
    <pageField fld="4" hier="-1"/>
  </pageFields>
  <dataFields count="1">
    <dataField name="BA Status Table" fld="4" subtotal="count" baseField="0" baseItem="0"/>
  </dataFields>
  <chartFormats count="24"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2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2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3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Light1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pivotTables/pivotTable3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Values" showMissing="0" updatedVersion="6" minRefreshableVersion="3" useAutoFormatting="1" itemPrintTitles="1" createdVersion="6" indent="0" compact="0" outline="1" outlineData="1" compactData="0" multipleFieldFilters="0" chartFormat="3">
  <location ref="B31:H49" firstHeaderRow="1" firstDataRow="2" firstDataCol="1" rowPageCount="1" colPageCount="1"/>
  <pivotFields count="6">
    <pivotField compact="0" subtotalTop="0" showAll="0" insertBlankRow="1"/>
    <pivotField axis="axisRow" compact="0" subtotalTop="0" showAll="0" insertBlankRow="1">
      <items count="38">
        <item m="1" x="34"/>
        <item m="1" x="24"/>
        <item m="1" x="23"/>
        <item m="1" x="18"/>
        <item m="1" x="17"/>
        <item m="1" x="19"/>
        <item m="1" x="21"/>
        <item m="1" x="22"/>
        <item m="1" x="29"/>
        <item m="1" x="25"/>
        <item m="1" x="26"/>
        <item m="1" x="28"/>
        <item m="1" x="36"/>
        <item m="1" x="35"/>
        <item m="1" x="20"/>
        <item m="1" x="31"/>
        <item m="1" x="33"/>
        <item m="1" x="32"/>
        <item m="1" x="30"/>
        <item m="1" x="27"/>
        <item x="5"/>
        <item x="6"/>
        <item x="7"/>
        <item x="8"/>
        <item x="9"/>
        <item x="10"/>
        <item x="11"/>
        <item x="12"/>
        <item x="0"/>
        <item x="1"/>
        <item x="2"/>
        <item x="3"/>
        <item x="13"/>
        <item x="14"/>
        <item x="15"/>
        <item x="4"/>
        <item x="16"/>
        <item t="default"/>
      </items>
    </pivotField>
    <pivotField axis="axisCol" compact="0">
      <items count="11">
        <item h="1" m="1" x="9"/>
        <item h="1" m="1" x="7"/>
        <item x="4"/>
        <item x="3"/>
        <item x="2"/>
        <item h="1" m="1" x="8"/>
        <item x="1"/>
        <item x="0"/>
        <item h="1" x="5"/>
        <item h="1" m="1" x="6"/>
        <item t="default"/>
      </items>
    </pivotField>
    <pivotField compact="0" showAll="0"/>
    <pivotField axis="axisPage" dataField="1" compact="0" multipleItemSelectionAllowed="1" showAll="0">
      <items count="4">
        <item x="0"/>
        <item h="1" x="1"/>
        <item h="1" x="2"/>
        <item t="default"/>
      </items>
    </pivotField>
    <pivotField compact="0" dragToRow="0" dragToCol="0" dragToPage="0" showAll="0"/>
  </pivotFields>
  <rowFields count="1">
    <field x="1"/>
  </rowFields>
  <rowItems count="17"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2"/>
  </colFields>
  <colItems count="6">
    <i>
      <x v="2"/>
    </i>
    <i>
      <x v="3"/>
    </i>
    <i>
      <x v="4"/>
    </i>
    <i>
      <x v="6"/>
    </i>
    <i>
      <x v="7"/>
    </i>
    <i t="grand">
      <x/>
    </i>
  </colItems>
  <pageFields count="1">
    <pageField fld="4" hier="-1"/>
  </pageFields>
  <dataFields count="1">
    <dataField name="WP Status Table" fld="4" subtotal="count" baseField="0" baseItem="0"/>
  </dataFields>
  <chartFormats count="8"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Light1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WP Status Table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ables/table1.xml><?xml version="1.0" encoding="utf-8"?>
<table xmlns="http://schemas.openxmlformats.org/spreadsheetml/2006/main" id="9" name="DashboardMatrix" displayName="DashboardMatrix" ref="B3:G18" headerRowCount="0" totalsRowShown="0" headerRowDxfId="32" dataDxfId="31" tableBorderDxfId="30" totalsRowBorderDxfId="29">
  <tableColumns count="6">
    <tableColumn id="4" name="Column1" headerRowDxfId="28" dataDxfId="27">
      <calculatedColumnFormula>IDs!A2</calculatedColumnFormula>
    </tableColumn>
    <tableColumn id="1" name="Column2" headerRowDxfId="26" dataDxfId="25">
      <calculatedColumnFormula>CONCATENATE(VLOOKUP(C$2,BusinessAreaTable[],2,FALSE),VLOOKUP($B3,WorkpackageTable[],2,FALSE))</calculatedColumnFormula>
    </tableColumn>
    <tableColumn id="6" name="Column6" headerRowDxfId="24" dataDxfId="23">
      <calculatedColumnFormula>CONCATENATE(VLOOKUP(D$2,BusinessAreaTable[],2,FALSE),VLOOKUP($B3,WorkpackageTable[],2,FALSE))</calculatedColumnFormula>
    </tableColumn>
    <tableColumn id="7" name="Column3" headerRowDxfId="22" dataDxfId="21">
      <calculatedColumnFormula>CONCATENATE(VLOOKUP(E$2,BusinessAreaTable[],2,FALSE),VLOOKUP($B3,WorkpackageTable[],2,FALSE))</calculatedColumnFormula>
    </tableColumn>
    <tableColumn id="8" name="Column4" headerRowDxfId="20" dataDxfId="19">
      <calculatedColumnFormula>CONCATENATE(VLOOKUP(F$2,BusinessAreaTable[],2,FALSE),VLOOKUP($B3,WorkpackageTable[],2,FALSE))</calculatedColumnFormula>
    </tableColumn>
    <tableColumn id="9" name="Column5" headerRowDxfId="18" dataDxfId="17">
      <calculatedColumnFormula>CONCATENATE(VLOOKUP(G$2,BusinessAreaTable[],2,FALSE),VLOOKUP($B3,WorkpackageTable[],2,FALSE))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DeadlineTable" displayName="DeadlineTable" ref="A2:D18" totalsRowShown="0" headerRowDxfId="13" dataDxfId="12">
  <autoFilter ref="A2:D18"/>
  <tableColumns count="4">
    <tableColumn id="1" name="Work Package" dataDxfId="11">
      <calculatedColumnFormula>IDs!A2</calculatedColumnFormula>
    </tableColumn>
    <tableColumn id="2" name="Deadline" dataDxfId="10"/>
    <tableColumn id="5" name="Over-due" dataDxfId="9">
      <calculatedColumnFormula>IF(NOW() &gt; B3,TRUE,FALSE)</calculatedColumnFormula>
    </tableColumn>
    <tableColumn id="3" name="Issue" dataDxfId="8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id="3" name="BusinessAreaTable" displayName="BusinessAreaTable" ref="K1:N6" totalsRowShown="0">
  <autoFilter ref="K1:N6"/>
  <tableColumns count="4">
    <tableColumn id="1" name="Business Area"/>
    <tableColumn id="2" name="ID"/>
    <tableColumn id="3" name="In scope"/>
    <tableColumn id="4" name="Group"/>
  </tableColumns>
  <tableStyleInfo name="TableStyleMedium2" showFirstColumn="1" showLastColumn="0" showRowStripes="1" showColumnStripes="0"/>
</table>
</file>

<file path=xl/tables/table4.xml><?xml version="1.0" encoding="utf-8"?>
<table xmlns="http://schemas.openxmlformats.org/spreadsheetml/2006/main" id="4" name="StateTable" displayName="StateTable" ref="P1:T6">
  <autoFilter ref="P1:T6"/>
  <tableColumns count="5">
    <tableColumn id="1" name="State" totalsRowLabel="Total"/>
    <tableColumn id="2" name="ID"/>
    <tableColumn id="3" name="Color"/>
    <tableColumn id="4" name="To Be Set by"/>
    <tableColumn id="5" name="See actions if active" totalsRowFunction="count"/>
  </tableColumns>
  <tableStyleInfo name="TableStyleMedium2" showFirstColumn="1" showLastColumn="0" showRowStripes="1" showColumnStripes="0"/>
</table>
</file>

<file path=xl/tables/table5.xml><?xml version="1.0" encoding="utf-8"?>
<table xmlns="http://schemas.openxmlformats.org/spreadsheetml/2006/main" id="5" name="ColorTable" displayName="ColorTable" ref="V1:Y9" totalsRowShown="0">
  <autoFilter ref="V1:Y9"/>
  <tableColumns count="4">
    <tableColumn id="1" name="Color"/>
    <tableColumn id="2" name="R" dataDxfId="3"/>
    <tableColumn id="3" name="G" dataDxfId="2"/>
    <tableColumn id="4" name="B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WorkpackageTable" displayName="WorkpackageTable" ref="A1:I17">
  <autoFilter ref="A1:I17"/>
  <tableColumns count="9">
    <tableColumn id="1" name="Workpackages" totalsRowLabel="Total"/>
    <tableColumn id="2" name="ID" dataDxfId="0"/>
    <tableColumn id="3" name="State1"/>
    <tableColumn id="4" name="State2"/>
    <tableColumn id="5" name="State3"/>
    <tableColumn id="6" name="State4"/>
    <tableColumn id="7" name="State5"/>
    <tableColumn id="11" name="WP Short ID"/>
    <tableColumn id="12" name="URL" totalsRowFunction="count"/>
  </tableColumns>
  <tableStyleInfo name="TableStyleMedium2" showFirstColumn="1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Volkswagen">
      <a:dk1>
        <a:srgbClr val="33434C"/>
      </a:dk1>
      <a:lt1>
        <a:srgbClr val="FFFFFF"/>
      </a:lt1>
      <a:dk2>
        <a:srgbClr val="8994A0"/>
      </a:dk2>
      <a:lt2>
        <a:srgbClr val="73B1DD"/>
      </a:lt2>
      <a:accent1>
        <a:srgbClr val="CFD7D9"/>
      </a:accent1>
      <a:accent2>
        <a:srgbClr val="003C65"/>
      </a:accent2>
      <a:accent3>
        <a:srgbClr val="2274AC"/>
      </a:accent3>
      <a:accent4>
        <a:srgbClr val="005D4D"/>
      </a:accent4>
      <a:accent5>
        <a:srgbClr val="730019"/>
      </a:accent5>
      <a:accent6>
        <a:srgbClr val="FF871F"/>
      </a:accent6>
      <a:hlink>
        <a:srgbClr val="33434C"/>
      </a:hlink>
      <a:folHlink>
        <a:srgbClr val="8994A0"/>
      </a:folHlink>
    </a:clrScheme>
    <a:fontScheme name="Volkswagen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ctr">
          <a:defRPr sz="1100" baseline="0">
            <a:solidFill>
              <a:sysClr val="windowText" lastClr="000000"/>
            </a:solidFill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2"/>
  </sheetPr>
  <dimension ref="A1:S40"/>
  <sheetViews>
    <sheetView showGridLines="0" showRowColHeaders="0" zoomScaleNormal="100" workbookViewId="0">
      <selection activeCell="C15" sqref="C15"/>
    </sheetView>
  </sheetViews>
  <sheetFormatPr defaultColWidth="11.42578125" defaultRowHeight="12.75" outlineLevelCol="1" x14ac:dyDescent="0.2"/>
  <cols>
    <col min="1" max="1" width="3.42578125" style="190" customWidth="1"/>
    <col min="2" max="2" width="4.140625" style="190" customWidth="1"/>
    <col min="3" max="3" width="17.85546875" style="190" bestFit="1" customWidth="1"/>
    <col min="4" max="4" width="5.7109375" style="190" customWidth="1"/>
    <col min="5" max="5" width="33.140625" style="265" bestFit="1" customWidth="1"/>
    <col min="6" max="6" width="33.140625" style="190" bestFit="1" customWidth="1"/>
    <col min="7" max="7" width="26.5703125" style="190" bestFit="1" customWidth="1"/>
    <col min="8" max="8" width="38.85546875" style="190" bestFit="1" customWidth="1"/>
    <col min="9" max="9" width="5" style="190" customWidth="1"/>
    <col min="10" max="10" width="13" style="190" hidden="1" customWidth="1" outlineLevel="1"/>
    <col min="11" max="11" width="7.85546875" style="190" hidden="1" customWidth="1" outlineLevel="1"/>
    <col min="12" max="12" width="9.140625" style="190" hidden="1" customWidth="1" outlineLevel="1"/>
    <col min="13" max="13" width="16.7109375" style="190" customWidth="1" collapsed="1"/>
    <col min="14" max="16384" width="11.42578125" style="190"/>
  </cols>
  <sheetData>
    <row r="1" spans="1:19" ht="16.5" thickBot="1" x14ac:dyDescent="0.3">
      <c r="A1" s="187"/>
      <c r="B1" s="188"/>
      <c r="C1" s="188"/>
      <c r="D1" s="188"/>
      <c r="E1" s="189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</row>
    <row r="2" spans="1:19" x14ac:dyDescent="0.2">
      <c r="A2" s="188"/>
      <c r="B2" s="191"/>
      <c r="C2" s="192"/>
      <c r="D2" s="192"/>
      <c r="E2" s="193"/>
      <c r="F2" s="192"/>
      <c r="G2" s="192"/>
      <c r="H2" s="192"/>
      <c r="I2" s="194"/>
      <c r="J2" s="195"/>
      <c r="K2" s="195"/>
      <c r="L2" s="195"/>
      <c r="M2" s="196" t="s">
        <v>319</v>
      </c>
      <c r="N2" s="188"/>
      <c r="O2" s="188"/>
      <c r="P2" s="188"/>
      <c r="Q2" s="188"/>
      <c r="R2" s="188"/>
      <c r="S2" s="188"/>
    </row>
    <row r="3" spans="1:19" ht="15.75" x14ac:dyDescent="0.25">
      <c r="A3" s="197"/>
      <c r="B3" s="198"/>
      <c r="C3" s="199" t="s">
        <v>320</v>
      </c>
      <c r="D3" s="200"/>
      <c r="E3" s="201"/>
      <c r="F3" s="200"/>
      <c r="G3" s="200"/>
      <c r="H3" s="200"/>
      <c r="I3" s="202"/>
      <c r="J3" s="203" t="s">
        <v>312</v>
      </c>
      <c r="K3" s="195"/>
      <c r="L3" s="195"/>
      <c r="M3" s="188"/>
      <c r="N3" s="188"/>
      <c r="O3" s="188"/>
      <c r="P3" s="188"/>
      <c r="Q3" s="188"/>
      <c r="R3" s="188"/>
      <c r="S3" s="188"/>
    </row>
    <row r="4" spans="1:19" ht="13.5" thickBot="1" x14ac:dyDescent="0.25">
      <c r="A4" s="197"/>
      <c r="B4" s="198"/>
      <c r="C4" s="204" t="s">
        <v>271</v>
      </c>
      <c r="D4" s="204"/>
      <c r="E4" s="205" t="s">
        <v>412</v>
      </c>
      <c r="F4" s="206"/>
      <c r="G4" s="206"/>
      <c r="H4" s="206"/>
      <c r="I4" s="202"/>
      <c r="J4" s="207" t="s">
        <v>271</v>
      </c>
      <c r="K4" s="195" t="s">
        <v>313</v>
      </c>
      <c r="L4" s="195"/>
      <c r="M4" s="188"/>
      <c r="N4" s="188"/>
      <c r="O4" s="188"/>
      <c r="P4" s="188"/>
      <c r="Q4" s="188"/>
      <c r="R4" s="188"/>
      <c r="S4" s="188"/>
    </row>
    <row r="5" spans="1:19" ht="14.25" thickTop="1" thickBot="1" x14ac:dyDescent="0.25">
      <c r="A5" s="197"/>
      <c r="B5" s="198"/>
      <c r="C5" s="208" t="s">
        <v>338</v>
      </c>
      <c r="D5" s="208"/>
      <c r="E5" s="209" t="s">
        <v>337</v>
      </c>
      <c r="F5" s="210" t="s">
        <v>270</v>
      </c>
      <c r="G5" s="210"/>
      <c r="H5" s="211"/>
      <c r="I5" s="202"/>
      <c r="J5" s="212" t="s">
        <v>272</v>
      </c>
      <c r="K5" s="195" t="s">
        <v>314</v>
      </c>
      <c r="L5" s="195"/>
      <c r="M5" s="188"/>
      <c r="N5" s="188"/>
      <c r="O5" s="188"/>
      <c r="P5" s="188"/>
      <c r="Q5" s="188"/>
      <c r="R5" s="188"/>
      <c r="S5" s="188"/>
    </row>
    <row r="6" spans="1:19" ht="14.25" thickTop="1" thickBot="1" x14ac:dyDescent="0.25">
      <c r="A6" s="197"/>
      <c r="B6" s="198"/>
      <c r="C6" s="208" t="s">
        <v>389</v>
      </c>
      <c r="D6" s="208"/>
      <c r="E6" s="213" t="s">
        <v>413</v>
      </c>
      <c r="F6" s="214"/>
      <c r="G6" s="214"/>
      <c r="H6" s="214"/>
      <c r="I6" s="202"/>
      <c r="J6" s="212" t="s">
        <v>315</v>
      </c>
      <c r="K6" s="215" t="s">
        <v>311</v>
      </c>
      <c r="L6" s="215" t="s">
        <v>270</v>
      </c>
      <c r="M6" s="188"/>
      <c r="N6" s="188"/>
      <c r="O6" s="188"/>
      <c r="P6" s="188"/>
      <c r="Q6" s="188"/>
      <c r="R6" s="188"/>
      <c r="S6" s="188"/>
    </row>
    <row r="7" spans="1:19" ht="14.25" thickTop="1" thickBot="1" x14ac:dyDescent="0.25">
      <c r="A7" s="197"/>
      <c r="B7" s="198"/>
      <c r="C7" s="208" t="s">
        <v>267</v>
      </c>
      <c r="D7" s="208"/>
      <c r="E7" s="216"/>
      <c r="F7" s="214"/>
      <c r="G7" s="214"/>
      <c r="H7" s="214"/>
      <c r="I7" s="202"/>
      <c r="J7" s="212" t="s">
        <v>268</v>
      </c>
      <c r="K7" s="215" t="s">
        <v>316</v>
      </c>
      <c r="L7" s="195"/>
      <c r="M7" s="188"/>
      <c r="N7" s="188"/>
      <c r="O7" s="188"/>
      <c r="P7" s="188"/>
      <c r="Q7" s="188"/>
      <c r="R7" s="188"/>
      <c r="S7" s="188"/>
    </row>
    <row r="8" spans="1:19" ht="14.25" thickTop="1" thickBot="1" x14ac:dyDescent="0.25">
      <c r="A8" s="197"/>
      <c r="B8" s="198"/>
      <c r="C8" s="208" t="s">
        <v>393</v>
      </c>
      <c r="D8" s="208"/>
      <c r="E8" s="216"/>
      <c r="F8" s="206"/>
      <c r="G8" s="206"/>
      <c r="H8" s="206"/>
      <c r="I8" s="202"/>
      <c r="J8" s="212" t="s">
        <v>267</v>
      </c>
      <c r="K8" s="215" t="s">
        <v>317</v>
      </c>
      <c r="L8" s="195"/>
      <c r="M8" s="188"/>
      <c r="N8" s="188"/>
      <c r="O8" s="188"/>
      <c r="P8" s="188"/>
      <c r="Q8" s="188"/>
      <c r="R8" s="188"/>
      <c r="S8" s="188"/>
    </row>
    <row r="9" spans="1:19" ht="14.25" thickTop="1" thickBot="1" x14ac:dyDescent="0.25">
      <c r="A9" s="197"/>
      <c r="B9" s="198"/>
      <c r="C9" s="208" t="s">
        <v>392</v>
      </c>
      <c r="D9" s="208"/>
      <c r="E9" s="217" t="s">
        <v>412</v>
      </c>
      <c r="F9" s="218"/>
      <c r="G9" s="219"/>
      <c r="H9" s="220"/>
      <c r="I9" s="202"/>
      <c r="J9" s="188"/>
      <c r="K9" s="188"/>
      <c r="L9" s="188"/>
      <c r="M9" s="188"/>
      <c r="N9" s="188"/>
      <c r="O9" s="188"/>
      <c r="P9" s="188"/>
      <c r="Q9" s="188"/>
      <c r="R9" s="188"/>
      <c r="S9" s="188"/>
    </row>
    <row r="10" spans="1:19" ht="13.5" thickTop="1" x14ac:dyDescent="0.2">
      <c r="A10" s="197"/>
      <c r="B10" s="198"/>
      <c r="C10" s="221"/>
      <c r="D10" s="221"/>
      <c r="E10" s="222"/>
      <c r="F10" s="215"/>
      <c r="G10" s="215"/>
      <c r="H10" s="215"/>
      <c r="I10" s="202"/>
      <c r="J10" s="212" t="s">
        <v>269</v>
      </c>
      <c r="K10" s="215" t="s">
        <v>318</v>
      </c>
      <c r="L10" s="195"/>
      <c r="M10" s="188"/>
      <c r="N10" s="188"/>
      <c r="O10" s="188"/>
      <c r="P10" s="188"/>
      <c r="Q10" s="188"/>
      <c r="R10" s="188"/>
      <c r="S10" s="188"/>
    </row>
    <row r="11" spans="1:19" ht="13.5" thickBot="1" x14ac:dyDescent="0.25">
      <c r="A11" s="197"/>
      <c r="B11" s="223"/>
      <c r="C11" s="224"/>
      <c r="D11" s="224"/>
      <c r="E11" s="225"/>
      <c r="F11" s="226"/>
      <c r="G11" s="226"/>
      <c r="H11" s="226"/>
      <c r="I11" s="227"/>
      <c r="J11" s="195"/>
      <c r="K11" s="195" t="s">
        <v>328</v>
      </c>
      <c r="L11" s="195"/>
      <c r="M11" s="188"/>
      <c r="N11" s="188"/>
      <c r="O11" s="188"/>
      <c r="P11" s="188"/>
      <c r="Q11" s="188"/>
      <c r="R11" s="188"/>
      <c r="S11" s="188"/>
    </row>
    <row r="12" spans="1:19" ht="4.5" customHeight="1" x14ac:dyDescent="0.2">
      <c r="A12" s="197"/>
      <c r="B12" s="188"/>
      <c r="C12" s="228"/>
      <c r="D12" s="228"/>
      <c r="E12" s="229"/>
      <c r="F12" s="230"/>
      <c r="G12" s="230"/>
      <c r="H12" s="231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</row>
    <row r="13" spans="1:19" ht="17.25" customHeight="1" thickBot="1" x14ac:dyDescent="0.25">
      <c r="A13" s="232"/>
      <c r="B13" s="233"/>
      <c r="C13" s="234"/>
      <c r="D13" s="234"/>
      <c r="E13" s="233"/>
      <c r="F13" s="233"/>
      <c r="G13" s="233"/>
      <c r="H13" s="233"/>
      <c r="I13" s="233"/>
      <c r="J13" s="188"/>
      <c r="K13" s="188"/>
      <c r="L13" s="188"/>
      <c r="M13" s="188"/>
      <c r="N13" s="188"/>
      <c r="O13" s="188"/>
      <c r="P13" s="188"/>
      <c r="Q13" s="188"/>
      <c r="R13" s="188"/>
      <c r="S13" s="188"/>
    </row>
    <row r="14" spans="1:19" x14ac:dyDescent="0.2">
      <c r="A14" s="197"/>
      <c r="B14" s="191"/>
      <c r="C14" s="235"/>
      <c r="D14" s="235"/>
      <c r="E14" s="193"/>
      <c r="F14" s="192"/>
      <c r="G14" s="192"/>
      <c r="H14" s="192"/>
      <c r="I14" s="194"/>
      <c r="J14" s="195"/>
      <c r="K14" s="195"/>
      <c r="L14" s="195"/>
      <c r="M14" s="188"/>
      <c r="N14" s="188"/>
      <c r="O14" s="188"/>
      <c r="P14" s="188"/>
      <c r="Q14" s="188"/>
      <c r="R14" s="188"/>
      <c r="S14" s="188"/>
    </row>
    <row r="15" spans="1:19" ht="15.75" x14ac:dyDescent="0.25">
      <c r="A15" s="197"/>
      <c r="B15" s="198"/>
      <c r="C15" s="199" t="s">
        <v>578</v>
      </c>
      <c r="D15" s="236"/>
      <c r="E15" s="201"/>
      <c r="F15" s="200"/>
      <c r="G15" s="200"/>
      <c r="H15" s="200"/>
      <c r="I15" s="202"/>
      <c r="J15" s="195"/>
      <c r="K15" s="195"/>
      <c r="L15" s="195"/>
      <c r="M15" s="188"/>
      <c r="N15" s="188"/>
      <c r="O15" s="188"/>
      <c r="P15" s="188"/>
      <c r="Q15" s="188"/>
      <c r="R15" s="188"/>
      <c r="S15" s="188"/>
    </row>
    <row r="16" spans="1:19" x14ac:dyDescent="0.2">
      <c r="A16" s="197"/>
      <c r="B16" s="198"/>
      <c r="C16" s="237" t="str">
        <f>INDEX(BusinessAreaTable[Business Area],1)</f>
        <v>GERMANY</v>
      </c>
      <c r="D16" s="238" t="s">
        <v>307</v>
      </c>
      <c r="E16" s="239" t="s">
        <v>410</v>
      </c>
      <c r="F16" s="240"/>
      <c r="G16" s="241"/>
      <c r="H16" s="242"/>
      <c r="I16" s="202"/>
      <c r="J16" s="212" t="s">
        <v>322</v>
      </c>
      <c r="K16" s="195" t="s">
        <v>321</v>
      </c>
      <c r="L16" s="195"/>
      <c r="M16" s="188"/>
      <c r="N16" s="188"/>
      <c r="O16" s="188"/>
      <c r="P16" s="188"/>
      <c r="Q16" s="188"/>
      <c r="R16" s="188"/>
      <c r="S16" s="188"/>
    </row>
    <row r="17" spans="1:19" ht="13.5" thickBot="1" x14ac:dyDescent="0.25">
      <c r="A17" s="197"/>
      <c r="B17" s="198"/>
      <c r="C17" s="243"/>
      <c r="D17" s="244" t="s">
        <v>308</v>
      </c>
      <c r="E17" s="245"/>
      <c r="F17" s="246"/>
      <c r="G17" s="247"/>
      <c r="H17" s="248"/>
      <c r="I17" s="202"/>
      <c r="J17" s="195"/>
      <c r="K17" s="195"/>
      <c r="L17" s="195"/>
      <c r="M17" s="188"/>
      <c r="N17" s="188"/>
      <c r="O17" s="188"/>
      <c r="P17" s="188"/>
      <c r="Q17" s="188"/>
      <c r="R17" s="188"/>
      <c r="S17" s="188"/>
    </row>
    <row r="18" spans="1:19" ht="13.5" thickTop="1" x14ac:dyDescent="0.2">
      <c r="A18" s="197"/>
      <c r="B18" s="198"/>
      <c r="C18" s="249" t="str">
        <f>INDEX(BusinessAreaTable[Business Area],2)</f>
        <v>UK</v>
      </c>
      <c r="D18" s="250" t="s">
        <v>307</v>
      </c>
      <c r="E18" s="251"/>
      <c r="F18" s="252"/>
      <c r="G18" s="253"/>
      <c r="H18" s="254"/>
      <c r="I18" s="202"/>
      <c r="J18" s="195"/>
      <c r="K18" s="195"/>
      <c r="L18" s="195"/>
      <c r="M18" s="188"/>
      <c r="N18" s="188"/>
      <c r="O18" s="188"/>
      <c r="P18" s="188"/>
      <c r="Q18" s="188"/>
      <c r="R18" s="188"/>
      <c r="S18" s="188"/>
    </row>
    <row r="19" spans="1:19" ht="13.5" thickBot="1" x14ac:dyDescent="0.25">
      <c r="A19" s="197"/>
      <c r="B19" s="198"/>
      <c r="C19" s="243"/>
      <c r="D19" s="255" t="s">
        <v>308</v>
      </c>
      <c r="E19" s="256"/>
      <c r="F19" s="210"/>
      <c r="G19" s="210"/>
      <c r="H19" s="211"/>
      <c r="I19" s="202"/>
      <c r="J19" s="195"/>
      <c r="K19" s="195"/>
      <c r="L19" s="195"/>
      <c r="M19" s="188"/>
      <c r="N19" s="188"/>
      <c r="O19" s="188"/>
      <c r="P19" s="188"/>
      <c r="Q19" s="188"/>
      <c r="R19" s="188"/>
      <c r="S19" s="188"/>
    </row>
    <row r="20" spans="1:19" ht="13.5" thickTop="1" x14ac:dyDescent="0.2">
      <c r="A20" s="197"/>
      <c r="B20" s="198"/>
      <c r="C20" s="237" t="str">
        <f>INDEX(BusinessAreaTable[Business Area],3)</f>
        <v>USA</v>
      </c>
      <c r="D20" s="250" t="s">
        <v>307</v>
      </c>
      <c r="E20" s="257"/>
      <c r="F20" s="253"/>
      <c r="G20" s="253"/>
      <c r="H20" s="254"/>
      <c r="I20" s="202"/>
      <c r="J20" s="195"/>
      <c r="K20" s="195"/>
      <c r="L20" s="195"/>
      <c r="M20" s="188"/>
      <c r="N20" s="188"/>
      <c r="O20" s="188"/>
      <c r="P20" s="188"/>
      <c r="Q20" s="188"/>
      <c r="R20" s="188"/>
      <c r="S20" s="188"/>
    </row>
    <row r="21" spans="1:19" ht="13.5" thickBot="1" x14ac:dyDescent="0.25">
      <c r="A21" s="197"/>
      <c r="B21" s="198"/>
      <c r="C21" s="243"/>
      <c r="D21" s="255" t="s">
        <v>308</v>
      </c>
      <c r="E21" s="258"/>
      <c r="F21" s="210"/>
      <c r="G21" s="210"/>
      <c r="H21" s="211"/>
      <c r="I21" s="202"/>
      <c r="J21" s="195"/>
      <c r="K21" s="195"/>
      <c r="L21" s="195"/>
      <c r="M21" s="188"/>
      <c r="N21" s="188"/>
      <c r="O21" s="188"/>
      <c r="P21" s="188"/>
      <c r="Q21" s="188"/>
      <c r="R21" s="188"/>
      <c r="S21" s="188"/>
    </row>
    <row r="22" spans="1:19" ht="13.5" thickTop="1" x14ac:dyDescent="0.2">
      <c r="A22" s="197"/>
      <c r="B22" s="198"/>
      <c r="C22" s="249" t="str">
        <f>INDEX(BusinessAreaTable[Business Area],4)</f>
        <v>CHINA</v>
      </c>
      <c r="D22" s="250" t="s">
        <v>307</v>
      </c>
      <c r="E22" s="257"/>
      <c r="F22" s="259"/>
      <c r="G22" s="260"/>
      <c r="H22" s="261"/>
      <c r="I22" s="202"/>
      <c r="J22" s="195"/>
      <c r="K22" s="195"/>
      <c r="L22" s="195"/>
      <c r="M22" s="188"/>
      <c r="N22" s="188"/>
      <c r="O22" s="188"/>
      <c r="P22" s="188"/>
      <c r="Q22" s="188"/>
      <c r="R22" s="188"/>
      <c r="S22" s="188"/>
    </row>
    <row r="23" spans="1:19" ht="13.5" thickBot="1" x14ac:dyDescent="0.25">
      <c r="A23" s="197"/>
      <c r="B23" s="198"/>
      <c r="C23" s="243"/>
      <c r="D23" s="255" t="s">
        <v>308</v>
      </c>
      <c r="E23" s="258"/>
      <c r="F23" s="210"/>
      <c r="G23" s="210"/>
      <c r="H23" s="211"/>
      <c r="I23" s="202"/>
      <c r="J23" s="195"/>
      <c r="K23" s="195"/>
      <c r="L23" s="195"/>
      <c r="M23" s="188"/>
      <c r="N23" s="188"/>
      <c r="O23" s="188"/>
      <c r="P23" s="188"/>
      <c r="Q23" s="188"/>
      <c r="R23" s="188"/>
      <c r="S23" s="188"/>
    </row>
    <row r="24" spans="1:19" ht="13.5" thickTop="1" x14ac:dyDescent="0.2">
      <c r="A24" s="197"/>
      <c r="B24" s="198"/>
      <c r="C24" s="249" t="str">
        <f>INDEX(BusinessAreaTable[Business Area],5)</f>
        <v>RUSSIA</v>
      </c>
      <c r="D24" s="250" t="s">
        <v>307</v>
      </c>
      <c r="E24" s="257"/>
      <c r="F24" s="259"/>
      <c r="G24" s="260"/>
      <c r="H24" s="261"/>
      <c r="I24" s="202"/>
      <c r="J24" s="195"/>
      <c r="K24" s="195"/>
      <c r="L24" s="195"/>
      <c r="M24" s="188"/>
      <c r="N24" s="188"/>
      <c r="O24" s="188"/>
      <c r="P24" s="188"/>
      <c r="Q24" s="188"/>
      <c r="R24" s="188"/>
      <c r="S24" s="188"/>
    </row>
    <row r="25" spans="1:19" ht="13.5" thickBot="1" x14ac:dyDescent="0.25">
      <c r="A25" s="197"/>
      <c r="B25" s="198"/>
      <c r="C25" s="243"/>
      <c r="D25" s="255" t="s">
        <v>308</v>
      </c>
      <c r="E25" s="258"/>
      <c r="F25" s="210"/>
      <c r="G25" s="210"/>
      <c r="H25" s="211"/>
      <c r="I25" s="202"/>
      <c r="J25" s="195"/>
      <c r="K25" s="195"/>
      <c r="L25" s="195"/>
      <c r="M25" s="188"/>
      <c r="N25" s="188"/>
      <c r="O25" s="188"/>
      <c r="P25" s="188"/>
      <c r="Q25" s="188"/>
      <c r="R25" s="188"/>
      <c r="S25" s="188"/>
    </row>
    <row r="26" spans="1:19" ht="13.5" thickTop="1" x14ac:dyDescent="0.2">
      <c r="A26" s="197"/>
      <c r="B26" s="198"/>
      <c r="C26" s="215"/>
      <c r="D26" s="215"/>
      <c r="E26" s="222"/>
      <c r="F26" s="215"/>
      <c r="G26" s="215"/>
      <c r="H26" s="215"/>
      <c r="I26" s="202"/>
      <c r="J26" s="195"/>
      <c r="K26" s="195"/>
      <c r="L26" s="195"/>
      <c r="M26" s="188"/>
      <c r="N26" s="188"/>
      <c r="O26" s="188"/>
      <c r="P26" s="188"/>
      <c r="Q26" s="188"/>
      <c r="R26" s="188"/>
      <c r="S26" s="188"/>
    </row>
    <row r="27" spans="1:19" ht="13.5" thickBot="1" x14ac:dyDescent="0.25">
      <c r="A27" s="188"/>
      <c r="B27" s="223"/>
      <c r="C27" s="226"/>
      <c r="D27" s="226"/>
      <c r="E27" s="225"/>
      <c r="F27" s="226"/>
      <c r="G27" s="226"/>
      <c r="H27" s="226"/>
      <c r="I27" s="227"/>
      <c r="J27" s="195"/>
      <c r="K27" s="195"/>
      <c r="L27" s="195"/>
      <c r="M27" s="188"/>
      <c r="N27" s="188"/>
      <c r="O27" s="188"/>
      <c r="P27" s="188"/>
      <c r="Q27" s="188"/>
      <c r="R27" s="188"/>
      <c r="S27" s="188"/>
    </row>
    <row r="28" spans="1:19" ht="3.75" customHeight="1" x14ac:dyDescent="0.2">
      <c r="A28" s="262"/>
      <c r="B28" s="188"/>
      <c r="C28" s="228"/>
      <c r="D28" s="228"/>
      <c r="E28" s="229"/>
      <c r="F28" s="230"/>
      <c r="G28" s="230"/>
      <c r="H28" s="231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</row>
    <row r="29" spans="1:19" ht="13.5" customHeight="1" x14ac:dyDescent="0.2">
      <c r="A29" s="188"/>
      <c r="B29" s="188"/>
      <c r="C29" s="188"/>
      <c r="D29" s="188"/>
      <c r="E29" s="189"/>
      <c r="F29" s="188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</row>
    <row r="30" spans="1:19" x14ac:dyDescent="0.2">
      <c r="A30" s="188"/>
      <c r="B30" s="188"/>
      <c r="C30" s="188"/>
      <c r="D30" s="188"/>
      <c r="E30" s="189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</row>
    <row r="31" spans="1:19" x14ac:dyDescent="0.2">
      <c r="A31" s="188"/>
      <c r="B31" s="188"/>
      <c r="C31" s="188"/>
      <c r="D31" s="188"/>
      <c r="E31" s="263"/>
      <c r="F31" s="233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</row>
    <row r="32" spans="1:19" ht="5.25" customHeight="1" x14ac:dyDescent="0.2">
      <c r="A32" s="188"/>
      <c r="B32" s="188"/>
      <c r="C32" s="188"/>
      <c r="D32" s="188"/>
      <c r="E32" s="189"/>
      <c r="F32" s="188"/>
      <c r="G32" s="188"/>
      <c r="H32" s="188"/>
      <c r="I32" s="188"/>
      <c r="J32" s="188"/>
      <c r="K32" s="188"/>
      <c r="L32" s="188"/>
      <c r="M32" s="188"/>
      <c r="N32" s="188"/>
      <c r="O32" s="188"/>
      <c r="P32" s="188"/>
      <c r="Q32" s="188"/>
      <c r="R32" s="188"/>
      <c r="S32" s="188"/>
    </row>
    <row r="33" spans="1:19" x14ac:dyDescent="0.2">
      <c r="A33" s="188"/>
      <c r="B33" s="188"/>
      <c r="C33" s="188"/>
      <c r="D33" s="188"/>
      <c r="E33" s="263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</row>
    <row r="34" spans="1:19" x14ac:dyDescent="0.2">
      <c r="A34" s="188"/>
      <c r="B34" s="188"/>
      <c r="C34" s="188"/>
      <c r="D34" s="188"/>
      <c r="E34" s="263"/>
      <c r="F34" s="233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</row>
    <row r="35" spans="1:19" x14ac:dyDescent="0.2">
      <c r="A35" s="188"/>
      <c r="B35" s="188"/>
      <c r="C35" s="188"/>
      <c r="D35" s="188"/>
      <c r="E35" s="263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</row>
    <row r="36" spans="1:19" x14ac:dyDescent="0.2">
      <c r="A36" s="188"/>
      <c r="B36" s="188"/>
      <c r="C36" s="188"/>
      <c r="D36" s="188"/>
      <c r="E36" s="233"/>
      <c r="F36" s="233"/>
      <c r="G36" s="188"/>
      <c r="H36" s="188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</row>
    <row r="37" spans="1:19" x14ac:dyDescent="0.2">
      <c r="A37" s="188"/>
      <c r="B37" s="188"/>
      <c r="C37" s="188"/>
      <c r="D37" s="188"/>
      <c r="E37" s="263"/>
      <c r="F37" s="233"/>
      <c r="G37" s="188"/>
      <c r="H37" s="188"/>
      <c r="I37" s="188"/>
      <c r="J37" s="188"/>
      <c r="K37" s="188"/>
      <c r="L37" s="188"/>
      <c r="M37" s="188"/>
      <c r="N37" s="188"/>
      <c r="O37" s="188"/>
      <c r="P37" s="188"/>
      <c r="Q37" s="188"/>
      <c r="R37" s="188"/>
      <c r="S37" s="188"/>
    </row>
    <row r="38" spans="1:19" x14ac:dyDescent="0.2">
      <c r="A38" s="188"/>
      <c r="B38" s="188"/>
      <c r="C38" s="188"/>
      <c r="D38" s="188"/>
      <c r="E38" s="264"/>
      <c r="F38" s="233"/>
      <c r="G38" s="188"/>
      <c r="H38" s="188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</row>
    <row r="39" spans="1:19" x14ac:dyDescent="0.2">
      <c r="A39" s="188"/>
      <c r="B39" s="188"/>
      <c r="C39" s="188"/>
      <c r="D39" s="188"/>
      <c r="E39" s="263"/>
      <c r="F39" s="233"/>
      <c r="G39" s="188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</row>
    <row r="40" spans="1:19" x14ac:dyDescent="0.2">
      <c r="A40" s="188"/>
      <c r="B40" s="188"/>
      <c r="C40" s="188"/>
      <c r="D40" s="188"/>
      <c r="E40" s="189"/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</row>
  </sheetData>
  <mergeCells count="6">
    <mergeCell ref="C9:D9"/>
    <mergeCell ref="C4:D4"/>
    <mergeCell ref="C5:D5"/>
    <mergeCell ref="C6:D6"/>
    <mergeCell ref="C7:D7"/>
    <mergeCell ref="C8:D8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/>
    <pageSetUpPr autoPageBreaks="0"/>
  </sheetPr>
  <dimension ref="A1:Q46"/>
  <sheetViews>
    <sheetView showRowColHeaders="0" zoomScale="145" zoomScaleNormal="145" workbookViewId="0">
      <selection activeCell="H21" sqref="H21"/>
    </sheetView>
  </sheetViews>
  <sheetFormatPr defaultColWidth="11.42578125" defaultRowHeight="12.75" outlineLevelRow="1" x14ac:dyDescent="0.2"/>
  <cols>
    <col min="1" max="1" width="4.42578125" style="3" customWidth="1"/>
    <col min="2" max="2" width="5.28515625" style="3" customWidth="1"/>
    <col min="3" max="3" width="20.85546875" customWidth="1"/>
    <col min="4" max="4" width="37.42578125" customWidth="1"/>
    <col min="5" max="5" width="24" customWidth="1"/>
    <col min="9" max="9" width="2.7109375" customWidth="1"/>
    <col min="10" max="10" width="2.5703125" customWidth="1"/>
    <col min="11" max="11" width="10" customWidth="1"/>
    <col min="12" max="12" width="20.85546875" customWidth="1"/>
    <col min="13" max="13" width="9.42578125" customWidth="1"/>
  </cols>
  <sheetData>
    <row r="1" spans="1:17" ht="4.5" customHeight="1" x14ac:dyDescent="0.2">
      <c r="A1" s="36"/>
      <c r="B1" s="36"/>
      <c r="C1" s="36"/>
      <c r="D1" s="35"/>
      <c r="E1" s="34"/>
      <c r="F1" s="34"/>
      <c r="G1" s="33"/>
      <c r="H1" s="33"/>
      <c r="I1" s="33"/>
      <c r="J1" s="33"/>
      <c r="K1" s="5"/>
      <c r="N1" s="37"/>
      <c r="O1" s="37"/>
      <c r="P1" s="37"/>
      <c r="Q1" s="37"/>
    </row>
    <row r="2" spans="1:17" s="3" customFormat="1" ht="7.5" customHeight="1" thickBo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37"/>
      <c r="M2" s="37"/>
      <c r="N2" s="37"/>
      <c r="O2" s="37"/>
      <c r="P2" s="37"/>
      <c r="Q2" s="37"/>
    </row>
    <row r="3" spans="1:17" ht="16.5" thickBot="1" x14ac:dyDescent="0.3">
      <c r="A3" s="5"/>
      <c r="B3" s="5"/>
      <c r="C3" s="15" t="s">
        <v>108</v>
      </c>
      <c r="D3" s="5"/>
      <c r="E3" s="5"/>
      <c r="F3" s="5"/>
      <c r="G3" s="5"/>
      <c r="H3" s="5"/>
      <c r="I3" s="5"/>
      <c r="J3" s="5"/>
      <c r="K3" s="5"/>
      <c r="L3" s="37"/>
      <c r="M3" s="37"/>
      <c r="N3" s="37"/>
      <c r="O3" s="37"/>
      <c r="P3" s="37"/>
      <c r="Q3" s="37"/>
    </row>
    <row r="4" spans="1:17" x14ac:dyDescent="0.2">
      <c r="A4" s="5"/>
      <c r="B4" s="6"/>
      <c r="C4" s="10"/>
      <c r="D4" s="7"/>
      <c r="E4" s="7"/>
      <c r="F4" s="7"/>
      <c r="G4" s="7"/>
      <c r="H4" s="8"/>
      <c r="I4" s="5"/>
      <c r="J4" s="5"/>
      <c r="K4" s="5"/>
      <c r="L4" s="37"/>
      <c r="M4" s="37"/>
      <c r="N4" s="37"/>
      <c r="O4" s="37"/>
      <c r="P4" s="37"/>
      <c r="Q4" s="37"/>
    </row>
    <row r="5" spans="1:17" ht="13.5" thickBot="1" x14ac:dyDescent="0.25">
      <c r="A5" s="5"/>
      <c r="B5" s="9"/>
      <c r="C5" s="17"/>
      <c r="D5" s="17" t="s">
        <v>335</v>
      </c>
      <c r="E5" s="17" t="s">
        <v>333</v>
      </c>
      <c r="F5" s="10"/>
      <c r="G5" s="10"/>
      <c r="H5" s="11"/>
      <c r="I5" s="5"/>
      <c r="J5" s="5"/>
      <c r="K5" s="5"/>
      <c r="L5" s="37"/>
      <c r="M5" s="37"/>
      <c r="N5" s="37"/>
      <c r="O5" s="37"/>
      <c r="P5" s="37"/>
      <c r="Q5" s="37"/>
    </row>
    <row r="6" spans="1:17" ht="13.5" thickBot="1" x14ac:dyDescent="0.25">
      <c r="A6" s="5"/>
      <c r="B6" s="9"/>
      <c r="C6" s="10"/>
      <c r="D6" s="38" t="s">
        <v>357</v>
      </c>
      <c r="E6" s="38" t="s">
        <v>153</v>
      </c>
      <c r="F6" s="10"/>
      <c r="G6" s="10"/>
      <c r="H6" s="11"/>
      <c r="I6" s="5"/>
      <c r="J6" s="5"/>
      <c r="K6" s="5"/>
      <c r="L6" s="37"/>
      <c r="M6" s="37"/>
      <c r="N6" s="37"/>
      <c r="O6" s="37"/>
      <c r="P6" s="37"/>
      <c r="Q6" s="37"/>
    </row>
    <row r="7" spans="1:17" x14ac:dyDescent="0.2">
      <c r="A7" s="5"/>
      <c r="B7" s="9"/>
      <c r="C7" s="10"/>
      <c r="D7" s="10"/>
      <c r="E7" s="10"/>
      <c r="F7" s="10"/>
      <c r="G7" s="10"/>
      <c r="H7" s="11"/>
      <c r="I7" s="5"/>
      <c r="J7" s="5"/>
      <c r="K7" s="5"/>
      <c r="L7" s="37"/>
      <c r="M7" s="37"/>
      <c r="N7" s="37"/>
      <c r="O7" s="37"/>
      <c r="P7" s="37"/>
      <c r="Q7" s="37"/>
    </row>
    <row r="8" spans="1:17" x14ac:dyDescent="0.2">
      <c r="A8" s="5"/>
      <c r="B8" s="9"/>
      <c r="C8" s="10"/>
      <c r="D8" s="10"/>
      <c r="E8" s="10"/>
      <c r="F8" s="10"/>
      <c r="G8" s="10"/>
      <c r="H8" s="11"/>
      <c r="I8" s="5"/>
      <c r="J8" s="5"/>
      <c r="K8" s="5"/>
      <c r="L8" s="37"/>
      <c r="M8" s="37"/>
      <c r="N8" s="37"/>
      <c r="O8" s="37"/>
      <c r="P8" s="37"/>
      <c r="Q8" s="37"/>
    </row>
    <row r="9" spans="1:17" x14ac:dyDescent="0.2">
      <c r="A9" s="5"/>
      <c r="B9" s="9"/>
      <c r="C9" s="10"/>
      <c r="D9" s="10"/>
      <c r="E9" s="10"/>
      <c r="F9" s="10"/>
      <c r="G9" s="10"/>
      <c r="H9" s="11"/>
      <c r="I9" s="5"/>
      <c r="J9" s="5"/>
      <c r="K9" s="5"/>
      <c r="L9" s="37"/>
      <c r="M9" s="37"/>
      <c r="N9" s="37"/>
      <c r="O9" s="37"/>
      <c r="P9" s="37"/>
      <c r="Q9" s="37"/>
    </row>
    <row r="10" spans="1:17" x14ac:dyDescent="0.2">
      <c r="A10" s="5"/>
      <c r="B10" s="9"/>
      <c r="C10" s="10"/>
      <c r="D10" s="10"/>
      <c r="E10" s="10"/>
      <c r="F10" s="10"/>
      <c r="G10" s="10"/>
      <c r="H10" s="11"/>
      <c r="I10" s="5"/>
      <c r="J10" s="5"/>
      <c r="K10" s="5"/>
      <c r="L10" s="37"/>
      <c r="M10" s="37"/>
      <c r="N10" s="37"/>
      <c r="O10" s="37"/>
      <c r="P10" s="37"/>
      <c r="Q10" s="37"/>
    </row>
    <row r="11" spans="1:17" ht="13.5" thickBot="1" x14ac:dyDescent="0.25">
      <c r="A11" s="5"/>
      <c r="B11" s="9"/>
      <c r="C11" s="17" t="s">
        <v>579</v>
      </c>
      <c r="D11" s="17" t="s">
        <v>334</v>
      </c>
      <c r="E11" s="17" t="s">
        <v>333</v>
      </c>
      <c r="F11" s="10"/>
      <c r="G11" s="10"/>
      <c r="H11" s="11"/>
      <c r="I11" s="5"/>
      <c r="J11" s="5"/>
      <c r="K11" s="5"/>
      <c r="L11" s="37"/>
      <c r="M11" s="37"/>
      <c r="N11" s="37"/>
      <c r="O11" s="37"/>
      <c r="P11" s="37"/>
      <c r="Q11" s="37"/>
    </row>
    <row r="12" spans="1:17" ht="13.5" thickBot="1" x14ac:dyDescent="0.25">
      <c r="A12" s="5"/>
      <c r="B12" s="9"/>
      <c r="C12" s="38" t="s">
        <v>396</v>
      </c>
      <c r="D12" s="38" t="s">
        <v>357</v>
      </c>
      <c r="E12" s="38" t="s">
        <v>153</v>
      </c>
      <c r="F12" s="10"/>
      <c r="G12" s="10"/>
      <c r="H12" s="11"/>
      <c r="I12" s="5"/>
      <c r="J12" s="5"/>
      <c r="K12" s="5"/>
      <c r="L12" s="37"/>
      <c r="M12" s="37"/>
      <c r="N12" s="37"/>
      <c r="O12" s="37"/>
      <c r="P12" s="37"/>
      <c r="Q12" s="37"/>
    </row>
    <row r="13" spans="1:17" x14ac:dyDescent="0.2">
      <c r="A13" s="5"/>
      <c r="B13" s="9"/>
      <c r="C13" s="10"/>
      <c r="D13" s="10"/>
      <c r="E13" s="10"/>
      <c r="F13" s="10"/>
      <c r="G13" s="10"/>
      <c r="H13" s="11"/>
      <c r="I13" s="5"/>
      <c r="J13" s="5"/>
      <c r="K13" s="5"/>
      <c r="L13" s="37"/>
      <c r="M13" s="37"/>
      <c r="N13" s="37"/>
      <c r="O13" s="37"/>
      <c r="P13" s="37"/>
      <c r="Q13" s="37"/>
    </row>
    <row r="14" spans="1:17" ht="13.5" thickBot="1" x14ac:dyDescent="0.25">
      <c r="A14" s="5"/>
      <c r="B14" s="12"/>
      <c r="C14" s="13"/>
      <c r="D14" s="13"/>
      <c r="E14" s="13"/>
      <c r="F14" s="13"/>
      <c r="G14" s="13"/>
      <c r="H14" s="14"/>
      <c r="I14" s="5"/>
      <c r="J14" s="5"/>
      <c r="K14" s="5"/>
      <c r="L14" s="37"/>
      <c r="M14" s="37"/>
      <c r="N14" s="37"/>
      <c r="O14" s="37"/>
      <c r="P14" s="37"/>
      <c r="Q14" s="37"/>
    </row>
    <row r="15" spans="1:17" ht="13.5" thickBo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37"/>
      <c r="M15" s="37"/>
      <c r="N15" s="37"/>
      <c r="O15" s="37"/>
      <c r="P15" s="37"/>
      <c r="Q15" s="37"/>
    </row>
    <row r="16" spans="1:17" ht="16.5" thickBot="1" x14ac:dyDescent="0.3">
      <c r="A16" s="5"/>
      <c r="B16"/>
      <c r="C16" s="15" t="s">
        <v>113</v>
      </c>
      <c r="D16" s="5"/>
      <c r="E16" s="5"/>
      <c r="F16" s="5"/>
      <c r="G16" s="5"/>
      <c r="H16" s="5"/>
      <c r="I16" s="5"/>
      <c r="J16" s="5"/>
      <c r="K16" s="5"/>
      <c r="L16" s="37"/>
      <c r="M16" s="37"/>
      <c r="N16" s="37"/>
      <c r="O16" s="37"/>
      <c r="P16" s="37"/>
      <c r="Q16" s="37"/>
    </row>
    <row r="17" spans="1:17" x14ac:dyDescent="0.2">
      <c r="A17" s="5"/>
      <c r="B17" s="6"/>
      <c r="C17" s="10"/>
      <c r="D17" s="7"/>
      <c r="E17" s="8"/>
      <c r="F17" s="5"/>
      <c r="G17" s="5"/>
      <c r="H17" s="5"/>
      <c r="I17" s="5"/>
      <c r="J17" s="5"/>
      <c r="K17" s="5"/>
      <c r="L17" s="37"/>
      <c r="M17" s="37"/>
      <c r="N17" s="37"/>
      <c r="O17" s="37"/>
      <c r="P17" s="37"/>
      <c r="Q17" s="37"/>
    </row>
    <row r="18" spans="1:17" x14ac:dyDescent="0.2">
      <c r="A18" s="5"/>
      <c r="B18" s="9"/>
      <c r="C18" s="10"/>
      <c r="D18" s="10"/>
      <c r="E18" s="11"/>
      <c r="F18" s="5"/>
      <c r="G18" s="5"/>
      <c r="H18" s="5"/>
      <c r="I18" s="5"/>
      <c r="J18" s="5"/>
      <c r="K18" s="5"/>
      <c r="L18" s="37"/>
      <c r="M18" s="37"/>
      <c r="N18" s="37"/>
      <c r="O18" s="37"/>
      <c r="P18" s="37"/>
      <c r="Q18" s="37"/>
    </row>
    <row r="19" spans="1:17" x14ac:dyDescent="0.2">
      <c r="A19" s="5"/>
      <c r="B19" s="9"/>
      <c r="C19" s="10"/>
      <c r="D19" s="10"/>
      <c r="E19" s="11"/>
      <c r="F19" s="5"/>
      <c r="G19" s="5"/>
      <c r="H19" s="5"/>
      <c r="I19" s="5"/>
      <c r="J19" s="5"/>
      <c r="K19" s="5"/>
      <c r="L19" s="37"/>
      <c r="M19" s="37"/>
      <c r="N19" s="37"/>
      <c r="O19" s="37"/>
      <c r="P19" s="37"/>
      <c r="Q19" s="37"/>
    </row>
    <row r="20" spans="1:17" ht="13.5" thickBot="1" x14ac:dyDescent="0.25">
      <c r="A20" s="5"/>
      <c r="B20" s="9"/>
      <c r="C20" s="17"/>
      <c r="D20" s="17" t="s">
        <v>336</v>
      </c>
      <c r="E20" s="11"/>
      <c r="F20" s="5"/>
      <c r="G20" s="5"/>
      <c r="H20" s="5"/>
      <c r="I20" s="5"/>
      <c r="J20" s="5"/>
      <c r="K20" s="5"/>
      <c r="L20" s="37"/>
      <c r="M20" s="37"/>
      <c r="N20" s="37"/>
      <c r="O20" s="37"/>
      <c r="P20" s="37"/>
      <c r="Q20" s="37"/>
    </row>
    <row r="21" spans="1:17" ht="13.5" thickBot="1" x14ac:dyDescent="0.25">
      <c r="A21" s="5"/>
      <c r="B21" s="9"/>
      <c r="C21" s="40" t="s">
        <v>388</v>
      </c>
      <c r="D21" s="39" t="s">
        <v>396</v>
      </c>
      <c r="E21" s="11"/>
      <c r="F21" s="5"/>
      <c r="G21" s="5"/>
      <c r="H21" s="5"/>
      <c r="I21" s="5"/>
      <c r="J21" s="5"/>
      <c r="K21" s="5"/>
      <c r="L21" s="37"/>
      <c r="M21" s="37"/>
      <c r="N21" s="37"/>
      <c r="O21" s="37"/>
      <c r="P21" s="37"/>
      <c r="Q21" s="37"/>
    </row>
    <row r="22" spans="1:17" x14ac:dyDescent="0.2">
      <c r="A22" s="5"/>
      <c r="B22" s="9"/>
      <c r="C22" s="16"/>
      <c r="D22" s="10"/>
      <c r="E22" s="11"/>
      <c r="F22" s="5"/>
      <c r="G22" s="5"/>
      <c r="H22" s="5"/>
      <c r="I22" s="5"/>
      <c r="J22" s="5"/>
      <c r="K22" s="5"/>
      <c r="L22" s="37"/>
      <c r="M22" s="37"/>
      <c r="N22" s="37"/>
      <c r="O22" s="37"/>
      <c r="P22" s="37"/>
      <c r="Q22" s="37"/>
    </row>
    <row r="23" spans="1:17" ht="12.75" hidden="1" customHeight="1" outlineLevel="1" x14ac:dyDescent="0.2">
      <c r="A23" s="5"/>
      <c r="B23" s="9"/>
      <c r="C23" s="16" t="s">
        <v>109</v>
      </c>
      <c r="D23" s="10" t="s">
        <v>274</v>
      </c>
      <c r="E23" s="11"/>
      <c r="F23" s="5"/>
      <c r="G23" s="5"/>
      <c r="H23" s="5"/>
      <c r="I23" s="5"/>
      <c r="J23" s="5"/>
      <c r="K23" s="5"/>
      <c r="L23" s="37"/>
      <c r="M23" s="37"/>
      <c r="N23" s="37"/>
      <c r="O23" s="37"/>
      <c r="P23" s="37"/>
      <c r="Q23" s="37"/>
    </row>
    <row r="24" spans="1:17" ht="12" hidden="1" customHeight="1" outlineLevel="1" x14ac:dyDescent="0.2">
      <c r="A24" s="5"/>
      <c r="B24" s="9"/>
      <c r="C24" s="16"/>
      <c r="D24" s="10"/>
      <c r="E24" s="11"/>
      <c r="F24" s="5"/>
      <c r="G24" s="5"/>
      <c r="H24" s="5"/>
      <c r="I24" s="5"/>
      <c r="J24" s="5"/>
      <c r="K24" s="5"/>
      <c r="L24" s="37"/>
      <c r="M24" s="37"/>
      <c r="N24" s="37"/>
      <c r="O24" s="37"/>
      <c r="P24" s="37"/>
      <c r="Q24" s="37"/>
    </row>
    <row r="25" spans="1:17" ht="242.25" hidden="1" customHeight="1" outlineLevel="1" x14ac:dyDescent="0.2">
      <c r="A25" s="5"/>
      <c r="B25" s="9"/>
      <c r="C25" s="16" t="s">
        <v>110</v>
      </c>
      <c r="D25" s="183" t="s">
        <v>408</v>
      </c>
      <c r="E25" s="183"/>
      <c r="F25" s="29"/>
      <c r="G25" s="5"/>
      <c r="H25" s="5"/>
      <c r="I25" s="5"/>
      <c r="J25" s="5"/>
      <c r="K25" s="5"/>
      <c r="L25" s="37"/>
      <c r="M25" s="37"/>
      <c r="N25" s="37"/>
      <c r="O25" s="37"/>
      <c r="P25" s="37"/>
      <c r="Q25" s="37"/>
    </row>
    <row r="26" spans="1:17" ht="12.75" hidden="1" customHeight="1" outlineLevel="1" x14ac:dyDescent="0.2">
      <c r="A26" s="5"/>
      <c r="B26" s="9"/>
      <c r="C26" s="16"/>
      <c r="D26" s="10"/>
      <c r="E26" s="11"/>
      <c r="F26" s="5"/>
      <c r="G26" s="5"/>
      <c r="H26" s="5"/>
      <c r="I26" s="5"/>
      <c r="J26" s="5"/>
      <c r="K26" s="5"/>
      <c r="L26" s="37"/>
      <c r="M26" s="37"/>
      <c r="N26" s="37"/>
      <c r="O26" s="37"/>
      <c r="P26" s="37"/>
      <c r="Q26" s="37"/>
    </row>
    <row r="27" spans="1:17" ht="161.25" hidden="1" customHeight="1" outlineLevel="1" x14ac:dyDescent="0.2">
      <c r="A27" s="5"/>
      <c r="B27" s="9"/>
      <c r="C27" s="16" t="s">
        <v>111</v>
      </c>
      <c r="D27" s="183" t="s">
        <v>400</v>
      </c>
      <c r="E27" s="183"/>
      <c r="F27" s="29"/>
      <c r="G27" s="5"/>
      <c r="H27" s="5"/>
      <c r="I27" s="5"/>
      <c r="J27" s="5"/>
      <c r="K27" s="5"/>
      <c r="L27" s="37"/>
      <c r="M27" s="37"/>
      <c r="N27" s="37"/>
      <c r="O27" s="37"/>
      <c r="P27" s="37"/>
      <c r="Q27" s="37"/>
    </row>
    <row r="28" spans="1:17" ht="12.75" hidden="1" customHeight="1" outlineLevel="1" x14ac:dyDescent="0.2">
      <c r="A28" s="5"/>
      <c r="B28" s="9"/>
      <c r="C28" s="16"/>
      <c r="D28" s="10"/>
      <c r="E28" s="11"/>
      <c r="F28" s="5"/>
      <c r="G28" s="5"/>
      <c r="H28" s="5"/>
      <c r="I28" s="5"/>
      <c r="J28" s="5"/>
      <c r="K28" s="5"/>
      <c r="L28" s="37"/>
      <c r="M28" s="37"/>
      <c r="N28" s="37"/>
      <c r="O28" s="37"/>
      <c r="P28" s="37"/>
      <c r="Q28" s="37"/>
    </row>
    <row r="29" spans="1:17" ht="132" hidden="1" customHeight="1" outlineLevel="1" x14ac:dyDescent="0.2">
      <c r="A29" s="5"/>
      <c r="B29" s="9"/>
      <c r="C29" s="16" t="s">
        <v>112</v>
      </c>
      <c r="D29" s="183" t="s">
        <v>577</v>
      </c>
      <c r="E29" s="184"/>
      <c r="F29" s="5"/>
      <c r="G29" s="5"/>
      <c r="H29" s="5"/>
      <c r="I29" s="5"/>
      <c r="J29" s="5"/>
      <c r="K29" s="5"/>
      <c r="L29" s="37"/>
      <c r="M29" s="37"/>
      <c r="N29" s="37"/>
      <c r="O29" s="37"/>
      <c r="P29" s="37"/>
      <c r="Q29" s="37"/>
    </row>
    <row r="30" spans="1:17" s="3" customFormat="1" ht="15.75" hidden="1" customHeight="1" outlineLevel="1" x14ac:dyDescent="0.2">
      <c r="A30" s="5"/>
      <c r="B30" s="9"/>
      <c r="C30" s="16"/>
      <c r="D30" s="53"/>
      <c r="E30" s="54"/>
      <c r="F30" s="5"/>
      <c r="G30" s="5"/>
      <c r="H30" s="5"/>
      <c r="I30" s="5"/>
      <c r="J30" s="5"/>
      <c r="K30" s="5"/>
      <c r="L30" s="37"/>
      <c r="M30" s="37"/>
      <c r="N30" s="37"/>
      <c r="O30" s="37"/>
      <c r="P30" s="37"/>
      <c r="Q30" s="37"/>
    </row>
    <row r="31" spans="1:17" s="3" customFormat="1" ht="132" hidden="1" customHeight="1" outlineLevel="1" x14ac:dyDescent="0.2">
      <c r="A31" s="5"/>
      <c r="B31" s="9"/>
      <c r="C31" s="16" t="s">
        <v>347</v>
      </c>
      <c r="D31" s="183" t="str">
        <f>CONCATENATE("mailto: REPLYTO ?subject=",Configuration!E6,"IDCODE Status changed&amp;body=The businessarea ",D21," has changed the status of the Work Package &amp;ldquo;PACKAGESHORTNAME&amp;rdquo; to &amp;ldquo;ACTIONNAME&amp;rdquo;.")</f>
        <v>mailto: REPLYTO ?subject=[&lt;Identifier&gt;]IDCODE Status changed&amp;body=The businessarea GERMANY has changed the status of the Work Package &amp;ldquo;PACKAGESHORTNAME&amp;rdquo; to &amp;ldquo;ACTIONNAME&amp;rdquo;.</v>
      </c>
      <c r="E31" s="184"/>
      <c r="F31" s="5"/>
      <c r="G31" s="5"/>
      <c r="H31" s="5"/>
      <c r="I31" s="5"/>
      <c r="J31" s="5"/>
      <c r="K31" s="5"/>
      <c r="L31" s="37"/>
      <c r="M31" s="37"/>
      <c r="N31" s="37"/>
      <c r="O31" s="37"/>
      <c r="P31" s="37"/>
      <c r="Q31" s="37"/>
    </row>
    <row r="32" spans="1:17" s="3" customFormat="1" ht="12.75" hidden="1" customHeight="1" outlineLevel="1" x14ac:dyDescent="0.2">
      <c r="A32" s="5"/>
      <c r="B32" s="9"/>
      <c r="C32" s="16"/>
      <c r="D32" s="53"/>
      <c r="E32" s="54"/>
      <c r="F32" s="5"/>
      <c r="G32" s="5"/>
      <c r="H32" s="5"/>
      <c r="I32" s="5"/>
      <c r="J32" s="5"/>
      <c r="K32" s="5"/>
      <c r="L32" s="37"/>
      <c r="M32" s="37"/>
      <c r="N32" s="37"/>
      <c r="O32" s="37"/>
      <c r="P32" s="37"/>
      <c r="Q32" s="37"/>
    </row>
    <row r="33" spans="1:17" s="3" customFormat="1" ht="132" hidden="1" customHeight="1" outlineLevel="1" x14ac:dyDescent="0.2">
      <c r="A33" s="5"/>
      <c r="B33" s="9"/>
      <c r="C33" s="16" t="s">
        <v>399</v>
      </c>
      <c r="D33" s="183" t="str">
        <f>CONCATENATE("mailto: REPLYTO ?subject=",Configuration!E6,"ISSUEIDCODE[ISSUE]&amp;body= ",D21,": &amp;ldquo;PACKAGESHORTNAME&amp;rdquo; &lt;Please describe your Issue&gt;")</f>
        <v>mailto: REPLYTO ?subject=[&lt;Identifier&gt;]ISSUEIDCODE[ISSUE]&amp;body= GERMANY: &amp;ldquo;PACKAGESHORTNAME&amp;rdquo; &lt;Please describe your Issue&gt;</v>
      </c>
      <c r="E33" s="183"/>
      <c r="F33" s="29"/>
      <c r="G33" s="5"/>
      <c r="H33" s="5"/>
      <c r="I33" s="5"/>
      <c r="J33" s="5"/>
      <c r="K33" s="5"/>
      <c r="L33" s="37"/>
      <c r="M33" s="37"/>
      <c r="N33" s="37"/>
      <c r="O33" s="37"/>
      <c r="P33" s="37"/>
      <c r="Q33" s="37"/>
    </row>
    <row r="34" spans="1:17" ht="13.5" collapsed="1" thickBot="1" x14ac:dyDescent="0.25">
      <c r="A34" s="5"/>
      <c r="B34" s="12"/>
      <c r="C34" s="13"/>
      <c r="D34" s="13"/>
      <c r="E34" s="14"/>
      <c r="F34" s="5"/>
      <c r="G34" s="5"/>
      <c r="H34" s="5"/>
      <c r="I34" s="5"/>
      <c r="J34" s="5"/>
      <c r="K34" s="5"/>
      <c r="L34" s="37"/>
      <c r="M34" s="37"/>
      <c r="N34" s="37"/>
      <c r="O34" s="37"/>
      <c r="P34" s="37"/>
      <c r="Q34" s="37"/>
    </row>
    <row r="35" spans="1:17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37"/>
      <c r="M35" s="37"/>
      <c r="N35" s="37"/>
      <c r="O35" s="37"/>
      <c r="P35" s="37"/>
      <c r="Q35" s="37"/>
    </row>
    <row r="36" spans="1:17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37"/>
      <c r="M36" s="37"/>
      <c r="N36" s="37"/>
      <c r="O36" s="37"/>
      <c r="P36" s="37"/>
      <c r="Q36" s="37"/>
    </row>
    <row r="37" spans="1:17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37"/>
      <c r="M37" s="37"/>
      <c r="N37" s="37"/>
      <c r="O37" s="37"/>
      <c r="P37" s="37"/>
      <c r="Q37" s="37"/>
    </row>
    <row r="38" spans="1:17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37"/>
      <c r="M38" s="37"/>
      <c r="N38" s="37"/>
      <c r="O38" s="37"/>
      <c r="P38" s="37"/>
      <c r="Q38" s="37"/>
    </row>
    <row r="39" spans="1:17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</row>
    <row r="40" spans="1:17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</row>
    <row r="41" spans="1:17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</row>
    <row r="42" spans="1:17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</row>
    <row r="43" spans="1:17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</row>
    <row r="44" spans="1:17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</row>
    <row r="45" spans="1:17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</row>
    <row r="46" spans="1:17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</sheetData>
  <sheetProtection formatRows="0" insertColumns="0" insertRows="0" insertHyperlinks="0" deleteColumns="0" deleteRows="0" sort="0" autoFilter="0" pivotTables="0"/>
  <protectedRanges>
    <protectedRange sqref="D23:E33" name="Range1"/>
  </protectedRanges>
  <mergeCells count="5">
    <mergeCell ref="D25:E25"/>
    <mergeCell ref="D27:E27"/>
    <mergeCell ref="D31:E31"/>
    <mergeCell ref="D29:E29"/>
    <mergeCell ref="D33:E33"/>
  </mergeCells>
  <dataValidations count="3">
    <dataValidation type="list" allowBlank="1" showInputMessage="1" showErrorMessage="1" sqref="D12 D6">
      <formula1>INDIRECT("WorkpackageTable[Workpackages]")</formula1>
    </dataValidation>
    <dataValidation type="list" allowBlank="1" showInputMessage="1" showErrorMessage="1" sqref="E12 E6">
      <formula1>INDIRECT("StateTable[State]")</formula1>
    </dataValidation>
    <dataValidation type="list" allowBlank="1" showInputMessage="1" showErrorMessage="1" sqref="C12 D21">
      <formula1>INDIRECT("BusinessAreaTable[Business Area]")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50"/>
  </sheetPr>
  <dimension ref="A1:AH84"/>
  <sheetViews>
    <sheetView showGridLines="0" tabSelected="1" zoomScale="80" zoomScaleNormal="80" zoomScaleSheetLayoutView="71" workbookViewId="0">
      <selection activeCell="G23" sqref="G23"/>
    </sheetView>
  </sheetViews>
  <sheetFormatPr defaultColWidth="11.42578125" defaultRowHeight="12.75" x14ac:dyDescent="0.2"/>
  <cols>
    <col min="1" max="1" width="1.5703125" style="106" customWidth="1"/>
    <col min="2" max="2" width="51.28515625" style="115" customWidth="1"/>
    <col min="3" max="7" width="5.140625" style="106" customWidth="1"/>
    <col min="8" max="8" width="6" style="106" customWidth="1"/>
    <col min="9" max="9" width="31.28515625" style="106" customWidth="1"/>
    <col min="10" max="10" width="11.42578125" style="106"/>
    <col min="11" max="11" width="11.42578125" style="106" customWidth="1"/>
    <col min="12" max="13" width="11.42578125" style="106"/>
    <col min="14" max="18" width="11.42578125" style="106" customWidth="1"/>
    <col min="19" max="19" width="15.140625" style="106" customWidth="1"/>
    <col min="20" max="21" width="11.42578125" style="106"/>
    <col min="22" max="22" width="4" style="106" customWidth="1"/>
    <col min="23" max="23" width="11.42578125" style="106"/>
    <col min="24" max="24" width="9.140625" style="106" customWidth="1"/>
    <col min="25" max="25" width="12.28515625" style="106" hidden="1" customWidth="1"/>
    <col min="26" max="26" width="11.42578125" style="106"/>
    <col min="27" max="27" width="7.7109375" style="106" customWidth="1"/>
    <col min="28" max="28" width="22.28515625" style="106" customWidth="1"/>
    <col min="29" max="29" width="16" style="106" bestFit="1" customWidth="1"/>
    <col min="30" max="16384" width="11.42578125" style="106"/>
  </cols>
  <sheetData>
    <row r="1" spans="1:34" ht="21" customHeight="1" thickBot="1" x14ac:dyDescent="0.35">
      <c r="A1" s="100"/>
      <c r="B1" s="101" t="s">
        <v>35</v>
      </c>
      <c r="C1" s="101"/>
      <c r="D1" s="101"/>
      <c r="E1" s="101"/>
      <c r="F1" s="101"/>
      <c r="G1" s="101"/>
      <c r="H1" s="101"/>
      <c r="I1" s="102" t="s">
        <v>310</v>
      </c>
      <c r="J1" s="102" t="s">
        <v>411</v>
      </c>
      <c r="K1" s="102"/>
      <c r="L1" s="101"/>
      <c r="M1" s="101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4"/>
      <c r="AC1" s="105"/>
      <c r="AD1" s="105"/>
      <c r="AE1" s="105"/>
      <c r="AF1" s="105"/>
      <c r="AG1" s="105"/>
      <c r="AH1" s="105"/>
    </row>
    <row r="2" spans="1:34" s="115" customFormat="1" ht="51" customHeight="1" thickBot="1" x14ac:dyDescent="0.25">
      <c r="A2" s="100"/>
      <c r="B2" s="107" t="s">
        <v>581</v>
      </c>
      <c r="C2" s="108" t="str">
        <f>INDEX(BusinessAreaTable[Business Area],1)</f>
        <v>GERMANY</v>
      </c>
      <c r="D2" s="108" t="str">
        <f>INDEX(BusinessAreaTable[Business Area],2)</f>
        <v>UK</v>
      </c>
      <c r="E2" s="109" t="str">
        <f>INDEX(BusinessAreaTable[Business Area],3)</f>
        <v>USA</v>
      </c>
      <c r="F2" s="110" t="str">
        <f>INDEX(BusinessAreaTable[Business Area],4)</f>
        <v>CHINA</v>
      </c>
      <c r="G2" s="110" t="str">
        <f>INDEX(BusinessAreaTable[Business Area],5)</f>
        <v>RUSSIA</v>
      </c>
      <c r="H2" s="111"/>
      <c r="I2" s="112"/>
      <c r="J2" s="112"/>
      <c r="K2" s="112"/>
      <c r="L2" s="113"/>
      <c r="M2" s="114"/>
      <c r="N2" s="101"/>
      <c r="O2" s="101"/>
      <c r="Q2" s="114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16"/>
      <c r="AC2" s="117"/>
      <c r="AD2" s="117"/>
      <c r="AE2" s="117"/>
      <c r="AF2" s="117"/>
      <c r="AG2" s="117"/>
      <c r="AH2" s="117"/>
    </row>
    <row r="3" spans="1:34" ht="20.100000000000001" customHeight="1" x14ac:dyDescent="0.2">
      <c r="A3" s="100"/>
      <c r="B3" s="118" t="str">
        <f>IDs!A2</f>
        <v>PM-CMPS Identify Compromised Systems</v>
      </c>
      <c r="C3" s="119" t="str">
        <f>CONCATENATE(VLOOKUP(C$2,BusinessAreaTable[],2,FALSE),VLOOKUP($B3,WorkpackageTable[],2,FALSE))</f>
        <v>0101</v>
      </c>
      <c r="D3" s="119" t="str">
        <f>CONCATENATE(VLOOKUP(D$2,BusinessAreaTable[],2,FALSE),VLOOKUP($B3,WorkpackageTable[],2,FALSE))</f>
        <v>0201</v>
      </c>
      <c r="E3" s="119" t="str">
        <f>CONCATENATE(VLOOKUP(E$2,BusinessAreaTable[],2,FALSE),VLOOKUP($B3,WorkpackageTable[],2,FALSE))</f>
        <v>0301</v>
      </c>
      <c r="F3" s="119" t="str">
        <f>CONCATENATE(VLOOKUP(F$2,BusinessAreaTable[],2,FALSE),VLOOKUP($B3,WorkpackageTable[],2,FALSE))</f>
        <v>0401</v>
      </c>
      <c r="G3" s="120" t="str">
        <f>CONCATENATE(VLOOKUP(G$2,BusinessAreaTable[],2,FALSE),VLOOKUP($B3,WorkpackageTable[],2,FALSE))</f>
        <v>0501</v>
      </c>
      <c r="H3" s="121"/>
      <c r="I3" s="121"/>
      <c r="J3" s="122"/>
      <c r="K3" s="112"/>
      <c r="L3" s="112"/>
      <c r="M3" s="112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16"/>
      <c r="AC3" s="117"/>
      <c r="AD3" s="117"/>
      <c r="AE3" s="117"/>
      <c r="AF3" s="105"/>
      <c r="AG3" s="105"/>
      <c r="AH3" s="105"/>
    </row>
    <row r="4" spans="1:34" ht="20.100000000000001" customHeight="1" x14ac:dyDescent="0.2">
      <c r="A4" s="100"/>
      <c r="B4" s="123" t="str">
        <f>IDs!A3</f>
        <v>PM-REBS Rebuild Servers</v>
      </c>
      <c r="C4" s="124" t="str">
        <f>CONCATENATE(VLOOKUP(C$2,BusinessAreaTable[],2,FALSE),VLOOKUP($B4,WorkpackageTable[],2,FALSE))</f>
        <v>0102</v>
      </c>
      <c r="D4" s="124" t="str">
        <f>CONCATENATE(VLOOKUP(D$2,BusinessAreaTable[],2,FALSE),VLOOKUP($B4,WorkpackageTable[],2,FALSE))</f>
        <v>0202</v>
      </c>
      <c r="E4" s="124" t="str">
        <f>CONCATENATE(VLOOKUP(E$2,BusinessAreaTable[],2,FALSE),VLOOKUP($B4,WorkpackageTable[],2,FALSE))</f>
        <v>0302</v>
      </c>
      <c r="F4" s="124" t="str">
        <f>CONCATENATE(VLOOKUP(F$2,BusinessAreaTable[],2,FALSE),VLOOKUP($B4,WorkpackageTable[],2,FALSE))</f>
        <v>0402</v>
      </c>
      <c r="G4" s="125" t="str">
        <f>CONCATENATE(VLOOKUP(G$2,BusinessAreaTable[],2,FALSE),VLOOKUP($B4,WorkpackageTable[],2,FALSE))</f>
        <v>0502</v>
      </c>
      <c r="H4" s="126"/>
      <c r="I4" s="126"/>
      <c r="J4" s="122"/>
      <c r="K4" s="103"/>
      <c r="L4" s="103"/>
      <c r="M4" s="103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04"/>
      <c r="AC4" s="105"/>
      <c r="AD4" s="105"/>
      <c r="AE4" s="105"/>
      <c r="AF4" s="105"/>
      <c r="AG4" s="105"/>
      <c r="AH4" s="105"/>
    </row>
    <row r="5" spans="1:34" ht="20.100000000000001" customHeight="1" x14ac:dyDescent="0.2">
      <c r="A5" s="100"/>
      <c r="B5" s="123" t="str">
        <f>IDs!A4</f>
        <v>PM-REBC Rebuild Clients</v>
      </c>
      <c r="C5" s="124" t="str">
        <f>CONCATENATE(VLOOKUP(C$2,BusinessAreaTable[],2,FALSE),VLOOKUP($B5,WorkpackageTable[],2,FALSE))</f>
        <v>0103</v>
      </c>
      <c r="D5" s="124" t="str">
        <f>CONCATENATE(VLOOKUP(D$2,BusinessAreaTable[],2,FALSE),VLOOKUP($B5,WorkpackageTable[],2,FALSE))</f>
        <v>0203</v>
      </c>
      <c r="E5" s="124" t="str">
        <f>CONCATENATE(VLOOKUP(E$2,BusinessAreaTable[],2,FALSE),VLOOKUP($B5,WorkpackageTable[],2,FALSE))</f>
        <v>0303</v>
      </c>
      <c r="F5" s="124" t="str">
        <f>CONCATENATE(VLOOKUP(F$2,BusinessAreaTable[],2,FALSE),VLOOKUP($B5,WorkpackageTable[],2,FALSE))</f>
        <v>0403</v>
      </c>
      <c r="G5" s="125" t="str">
        <f>CONCATENATE(VLOOKUP(G$2,BusinessAreaTable[],2,FALSE),VLOOKUP($B5,WorkpackageTable[],2,FALSE))</f>
        <v>0503</v>
      </c>
      <c r="H5" s="128"/>
      <c r="I5" s="128"/>
      <c r="J5" s="122"/>
      <c r="K5" s="103"/>
      <c r="L5" s="103"/>
      <c r="M5" s="103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04"/>
      <c r="AC5" s="105"/>
      <c r="AD5" s="105"/>
      <c r="AE5" s="105"/>
      <c r="AF5" s="105"/>
      <c r="AG5" s="105"/>
      <c r="AH5" s="105"/>
    </row>
    <row r="6" spans="1:34" ht="20.100000000000001" customHeight="1" x14ac:dyDescent="0.2">
      <c r="A6" s="100"/>
      <c r="B6" s="123" t="str">
        <f>IDs!A5</f>
        <v>PM-PWCC Password Change for Privileged Local Accounts</v>
      </c>
      <c r="C6" s="124" t="str">
        <f>CONCATENATE(VLOOKUP(C$2,BusinessAreaTable[],2,FALSE),VLOOKUP($B6,WorkpackageTable[],2,FALSE))</f>
        <v>0104</v>
      </c>
      <c r="D6" s="124" t="str">
        <f>CONCATENATE(VLOOKUP(D$2,BusinessAreaTable[],2,FALSE),VLOOKUP($B6,WorkpackageTable[],2,FALSE))</f>
        <v>0204</v>
      </c>
      <c r="E6" s="124" t="str">
        <f>CONCATENATE(VLOOKUP(E$2,BusinessAreaTable[],2,FALSE),VLOOKUP($B6,WorkpackageTable[],2,FALSE))</f>
        <v>0304</v>
      </c>
      <c r="F6" s="124" t="str">
        <f>CONCATENATE(VLOOKUP(F$2,BusinessAreaTable[],2,FALSE),VLOOKUP($B6,WorkpackageTable[],2,FALSE))</f>
        <v>0404</v>
      </c>
      <c r="G6" s="125" t="str">
        <f>CONCATENATE(VLOOKUP(G$2,BusinessAreaTable[],2,FALSE),VLOOKUP($B6,WorkpackageTable[],2,FALSE))</f>
        <v>0504</v>
      </c>
      <c r="H6" s="128"/>
      <c r="I6" s="128"/>
      <c r="J6" s="122"/>
      <c r="K6" s="103"/>
      <c r="L6" s="103"/>
      <c r="M6" s="103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27"/>
      <c r="AB6" s="104"/>
      <c r="AC6" s="105"/>
      <c r="AD6" s="105"/>
      <c r="AE6" s="105"/>
      <c r="AF6" s="105"/>
      <c r="AG6" s="105"/>
      <c r="AH6" s="105"/>
    </row>
    <row r="7" spans="1:34" ht="20.100000000000001" customHeight="1" x14ac:dyDescent="0.2">
      <c r="A7" s="100"/>
      <c r="B7" s="123" t="str">
        <f>IDs!A6</f>
        <v>PM-KTGT Kerberos TGT Reset</v>
      </c>
      <c r="C7" s="124" t="str">
        <f>CONCATENATE(VLOOKUP(C$2,BusinessAreaTable[],2,FALSE),VLOOKUP($B7,WorkpackageTable[],2,FALSE))</f>
        <v>0105</v>
      </c>
      <c r="D7" s="124" t="str">
        <f>CONCATENATE(VLOOKUP(D$2,BusinessAreaTable[],2,FALSE),VLOOKUP($B7,WorkpackageTable[],2,FALSE))</f>
        <v>0205</v>
      </c>
      <c r="E7" s="124" t="str">
        <f>CONCATENATE(VLOOKUP(E$2,BusinessAreaTable[],2,FALSE),VLOOKUP($B7,WorkpackageTable[],2,FALSE))</f>
        <v>0305</v>
      </c>
      <c r="F7" s="124" t="str">
        <f>CONCATENATE(VLOOKUP(F$2,BusinessAreaTable[],2,FALSE),VLOOKUP($B7,WorkpackageTable[],2,FALSE))</f>
        <v>0405</v>
      </c>
      <c r="G7" s="125" t="str">
        <f>CONCATENATE(VLOOKUP(G$2,BusinessAreaTable[],2,FALSE),VLOOKUP($B7,WorkpackageTable[],2,FALSE))</f>
        <v>0505</v>
      </c>
      <c r="H7" s="129"/>
      <c r="I7" s="129"/>
      <c r="J7" s="122"/>
      <c r="K7" s="103"/>
      <c r="L7" s="103"/>
      <c r="M7" s="103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04"/>
      <c r="AC7" s="105"/>
      <c r="AD7" s="105"/>
      <c r="AE7" s="105"/>
      <c r="AF7" s="105"/>
    </row>
    <row r="8" spans="1:34" ht="20.100000000000001" customHeight="1" x14ac:dyDescent="0.2">
      <c r="A8" s="100"/>
      <c r="B8" s="123" t="str">
        <f>IDs!A7</f>
        <v>PM-BLKI Block Internet Connection</v>
      </c>
      <c r="C8" s="124" t="str">
        <f>CONCATENATE(VLOOKUP(C$2,BusinessAreaTable[],2,FALSE),VLOOKUP($B8,WorkpackageTable[],2,FALSE))</f>
        <v>0106</v>
      </c>
      <c r="D8" s="124" t="str">
        <f>CONCATENATE(VLOOKUP(D$2,BusinessAreaTable[],2,FALSE),VLOOKUP($B8,WorkpackageTable[],2,FALSE))</f>
        <v>0206</v>
      </c>
      <c r="E8" s="124" t="str">
        <f>CONCATENATE(VLOOKUP(E$2,BusinessAreaTable[],2,FALSE),VLOOKUP($B8,WorkpackageTable[],2,FALSE))</f>
        <v>0306</v>
      </c>
      <c r="F8" s="124" t="str">
        <f>CONCATENATE(VLOOKUP(F$2,BusinessAreaTable[],2,FALSE),VLOOKUP($B8,WorkpackageTable[],2,FALSE))</f>
        <v>0406</v>
      </c>
      <c r="G8" s="125" t="str">
        <f>CONCATENATE(VLOOKUP(G$2,BusinessAreaTable[],2,FALSE),VLOOKUP($B8,WorkpackageTable[],2,FALSE))</f>
        <v>0506</v>
      </c>
      <c r="H8" s="130"/>
      <c r="I8" s="130"/>
      <c r="J8" s="122"/>
      <c r="K8" s="103"/>
      <c r="L8" s="103"/>
      <c r="M8" s="103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04"/>
      <c r="AC8" s="105"/>
      <c r="AD8" s="105"/>
      <c r="AE8" s="105"/>
      <c r="AF8" s="105"/>
    </row>
    <row r="9" spans="1:34" ht="20.100000000000001" customHeight="1" x14ac:dyDescent="0.2">
      <c r="A9" s="100"/>
      <c r="B9" s="123" t="str">
        <f>IDs!A8</f>
        <v>PM-BLKS Block System-To-System Connection</v>
      </c>
      <c r="C9" s="124" t="str">
        <f>CONCATENATE(VLOOKUP(C$2,BusinessAreaTable[],2,FALSE),VLOOKUP($B9,WorkpackageTable[],2,FALSE))</f>
        <v>0107</v>
      </c>
      <c r="D9" s="124" t="str">
        <f>CONCATENATE(VLOOKUP(D$2,BusinessAreaTable[],2,FALSE),VLOOKUP($B9,WorkpackageTable[],2,FALSE))</f>
        <v>0207</v>
      </c>
      <c r="E9" s="124" t="str">
        <f>CONCATENATE(VLOOKUP(E$2,BusinessAreaTable[],2,FALSE),VLOOKUP($B9,WorkpackageTable[],2,FALSE))</f>
        <v>0307</v>
      </c>
      <c r="F9" s="124" t="str">
        <f>CONCATENATE(VLOOKUP(F$2,BusinessAreaTable[],2,FALSE),VLOOKUP($B9,WorkpackageTable[],2,FALSE))</f>
        <v>0407</v>
      </c>
      <c r="G9" s="125" t="str">
        <f>CONCATENATE(VLOOKUP(G$2,BusinessAreaTable[],2,FALSE),VLOOKUP($B9,WorkpackageTable[],2,FALSE))</f>
        <v>0507</v>
      </c>
      <c r="H9" s="131"/>
      <c r="I9" s="131"/>
      <c r="J9" s="122"/>
      <c r="K9" s="103"/>
      <c r="L9" s="103"/>
      <c r="M9" s="103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04"/>
      <c r="AC9" s="105"/>
      <c r="AD9" s="105"/>
      <c r="AE9" s="105"/>
      <c r="AF9" s="105"/>
    </row>
    <row r="10" spans="1:34" ht="20.100000000000001" customHeight="1" x14ac:dyDescent="0.2">
      <c r="A10" s="132"/>
      <c r="B10" s="123" t="str">
        <f>IDs!A9</f>
        <v>PM-BLIP IP Blacklisting</v>
      </c>
      <c r="C10" s="124" t="str">
        <f>CONCATENATE(VLOOKUP(C$2,BusinessAreaTable[],2,FALSE),VLOOKUP($B10,WorkpackageTable[],2,FALSE))</f>
        <v>0108</v>
      </c>
      <c r="D10" s="124" t="str">
        <f>CONCATENATE(VLOOKUP(D$2,BusinessAreaTable[],2,FALSE),VLOOKUP($B10,WorkpackageTable[],2,FALSE))</f>
        <v>0208</v>
      </c>
      <c r="E10" s="124" t="str">
        <f>CONCATENATE(VLOOKUP(E$2,BusinessAreaTable[],2,FALSE),VLOOKUP($B10,WorkpackageTable[],2,FALSE))</f>
        <v>0308</v>
      </c>
      <c r="F10" s="124" t="str">
        <f>CONCATENATE(VLOOKUP(F$2,BusinessAreaTable[],2,FALSE),VLOOKUP($B10,WorkpackageTable[],2,FALSE))</f>
        <v>0408</v>
      </c>
      <c r="G10" s="125" t="str">
        <f>CONCATENATE(VLOOKUP(G$2,BusinessAreaTable[],2,FALSE),VLOOKUP($B10,WorkpackageTable[],2,FALSE))</f>
        <v>0508</v>
      </c>
      <c r="H10" s="131"/>
      <c r="I10" s="131"/>
      <c r="J10" s="122"/>
      <c r="K10" s="103"/>
      <c r="L10" s="103"/>
      <c r="M10" s="103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04"/>
      <c r="AC10" s="105"/>
      <c r="AD10" s="105"/>
      <c r="AE10" s="105"/>
      <c r="AF10" s="105"/>
    </row>
    <row r="11" spans="1:34" ht="20.100000000000001" customHeight="1" x14ac:dyDescent="0.2">
      <c r="A11" s="132"/>
      <c r="B11" s="123" t="str">
        <f>IDs!A10</f>
        <v>PM-RMAC Replace RAT</v>
      </c>
      <c r="C11" s="124" t="str">
        <f>CONCATENATE(VLOOKUP(C$2,BusinessAreaTable[],2,FALSE),VLOOKUP($B11,WorkpackageTable[],2,FALSE))</f>
        <v>0109</v>
      </c>
      <c r="D11" s="124" t="str">
        <f>CONCATENATE(VLOOKUP(D$2,BusinessAreaTable[],2,FALSE),VLOOKUP($B11,WorkpackageTable[],2,FALSE))</f>
        <v>0209</v>
      </c>
      <c r="E11" s="124" t="str">
        <f>CONCATENATE(VLOOKUP(E$2,BusinessAreaTable[],2,FALSE),VLOOKUP($B11,WorkpackageTable[],2,FALSE))</f>
        <v>0309</v>
      </c>
      <c r="F11" s="124" t="str">
        <f>CONCATENATE(VLOOKUP(F$2,BusinessAreaTable[],2,FALSE),VLOOKUP($B11,WorkpackageTable[],2,FALSE))</f>
        <v>0409</v>
      </c>
      <c r="G11" s="125" t="str">
        <f>CONCATENATE(VLOOKUP(G$2,BusinessAreaTable[],2,FALSE),VLOOKUP($B11,WorkpackageTable[],2,FALSE))</f>
        <v>0509</v>
      </c>
      <c r="H11" s="131"/>
      <c r="I11" s="131"/>
      <c r="J11" s="122"/>
      <c r="K11" s="103"/>
      <c r="L11" s="103"/>
      <c r="M11" s="103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04"/>
      <c r="AC11" s="105"/>
      <c r="AD11" s="105"/>
      <c r="AE11" s="105"/>
      <c r="AF11" s="105"/>
    </row>
    <row r="12" spans="1:34" ht="20.100000000000001" customHeight="1" x14ac:dyDescent="0.2">
      <c r="A12" s="132"/>
      <c r="B12" s="123" t="str">
        <f>IDs!A11</f>
        <v>PM-SHDN Sinkhole Domain Names</v>
      </c>
      <c r="C12" s="124" t="str">
        <f>CONCATENATE(VLOOKUP(C$2,BusinessAreaTable[],2,FALSE),VLOOKUP($B12,WorkpackageTable[],2,FALSE))</f>
        <v>0110</v>
      </c>
      <c r="D12" s="124" t="str">
        <f>CONCATENATE(VLOOKUP(D$2,BusinessAreaTable[],2,FALSE),VLOOKUP($B12,WorkpackageTable[],2,FALSE))</f>
        <v>0210</v>
      </c>
      <c r="E12" s="124" t="str">
        <f>CONCATENATE(VLOOKUP(E$2,BusinessAreaTable[],2,FALSE),VLOOKUP($B12,WorkpackageTable[],2,FALSE))</f>
        <v>0310</v>
      </c>
      <c r="F12" s="124" t="str">
        <f>CONCATENATE(VLOOKUP(F$2,BusinessAreaTable[],2,FALSE),VLOOKUP($B12,WorkpackageTable[],2,FALSE))</f>
        <v>0410</v>
      </c>
      <c r="G12" s="125" t="str">
        <f>CONCATENATE(VLOOKUP(G$2,BusinessAreaTable[],2,FALSE),VLOOKUP($B12,WorkpackageTable[],2,FALSE))</f>
        <v>0510</v>
      </c>
      <c r="H12" s="131"/>
      <c r="I12" s="131"/>
      <c r="J12" s="122"/>
      <c r="K12" s="103"/>
      <c r="L12" s="103"/>
      <c r="M12" s="103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  <c r="AA12" s="127"/>
      <c r="AB12" s="104"/>
      <c r="AC12" s="105"/>
      <c r="AD12" s="105"/>
      <c r="AE12" s="105"/>
      <c r="AF12" s="105"/>
    </row>
    <row r="13" spans="1:34" ht="20.100000000000001" customHeight="1" x14ac:dyDescent="0.2">
      <c r="A13" s="132"/>
      <c r="B13" s="123" t="str">
        <f>IDs!A12</f>
        <v>PM-PWCE Enterprise Password Change</v>
      </c>
      <c r="C13" s="124" t="str">
        <f>CONCATENATE(VLOOKUP(C$2,BusinessAreaTable[],2,FALSE),VLOOKUP($B13,WorkpackageTable[],2,FALSE))</f>
        <v>0111</v>
      </c>
      <c r="D13" s="124" t="str">
        <f>CONCATENATE(VLOOKUP(D$2,BusinessAreaTable[],2,FALSE),VLOOKUP($B13,WorkpackageTable[],2,FALSE))</f>
        <v>0211</v>
      </c>
      <c r="E13" s="124" t="str">
        <f>CONCATENATE(VLOOKUP(E$2,BusinessAreaTable[],2,FALSE),VLOOKUP($B13,WorkpackageTable[],2,FALSE))</f>
        <v>0311</v>
      </c>
      <c r="F13" s="124" t="str">
        <f>CONCATENATE(VLOOKUP(F$2,BusinessAreaTable[],2,FALSE),VLOOKUP($B13,WorkpackageTable[],2,FALSE))</f>
        <v>0411</v>
      </c>
      <c r="G13" s="125" t="str">
        <f>CONCATENATE(VLOOKUP(G$2,BusinessAreaTable[],2,FALSE),VLOOKUP($B13,WorkpackageTable[],2,FALSE))</f>
        <v>0511</v>
      </c>
      <c r="H13" s="131"/>
      <c r="I13" s="131"/>
      <c r="J13" s="122"/>
      <c r="K13" s="103"/>
      <c r="L13" s="103"/>
      <c r="M13" s="103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  <c r="AA13" s="127"/>
      <c r="AB13" s="104"/>
      <c r="AC13" s="105"/>
      <c r="AD13" s="105"/>
      <c r="AE13" s="105"/>
      <c r="AF13" s="105"/>
    </row>
    <row r="14" spans="1:34" ht="20.100000000000001" customHeight="1" x14ac:dyDescent="0.2">
      <c r="A14" s="132"/>
      <c r="B14" s="123" t="str">
        <f>IDs!A13</f>
        <v>PM-ESAE Implement ESAE</v>
      </c>
      <c r="C14" s="124" t="str">
        <f>CONCATENATE(VLOOKUP(C$2,BusinessAreaTable[],2,FALSE),VLOOKUP($B14,WorkpackageTable[],2,FALSE))</f>
        <v>0112</v>
      </c>
      <c r="D14" s="124" t="str">
        <f>CONCATENATE(VLOOKUP(D$2,BusinessAreaTable[],2,FALSE),VLOOKUP($B14,WorkpackageTable[],2,FALSE))</f>
        <v>0212</v>
      </c>
      <c r="E14" s="124" t="str">
        <f>CONCATENATE(VLOOKUP(E$2,BusinessAreaTable[],2,FALSE),VLOOKUP($B14,WorkpackageTable[],2,FALSE))</f>
        <v>0312</v>
      </c>
      <c r="F14" s="124" t="str">
        <f>CONCATENATE(VLOOKUP(F$2,BusinessAreaTable[],2,FALSE),VLOOKUP($B14,WorkpackageTable[],2,FALSE))</f>
        <v>0412</v>
      </c>
      <c r="G14" s="125" t="str">
        <f>CONCATENATE(VLOOKUP(G$2,BusinessAreaTable[],2,FALSE),VLOOKUP($B14,WorkpackageTable[],2,FALSE))</f>
        <v>0512</v>
      </c>
      <c r="H14" s="131"/>
      <c r="I14" s="131"/>
      <c r="J14" s="133"/>
      <c r="K14" s="103"/>
      <c r="L14" s="103"/>
      <c r="M14" s="103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04"/>
      <c r="AC14" s="105"/>
      <c r="AD14" s="105"/>
      <c r="AE14" s="105"/>
      <c r="AF14" s="105"/>
    </row>
    <row r="15" spans="1:34" ht="20.100000000000001" customHeight="1" x14ac:dyDescent="0.2">
      <c r="A15" s="132"/>
      <c r="B15" s="123" t="str">
        <f>IDs!A14</f>
        <v>PM-WHIT Application Whitelisting on DCs</v>
      </c>
      <c r="C15" s="124" t="str">
        <f>CONCATENATE(VLOOKUP(C$2,BusinessAreaTable[],2,FALSE),VLOOKUP($B15,WorkpackageTable[],2,FALSE))</f>
        <v>0113</v>
      </c>
      <c r="D15" s="124" t="str">
        <f>CONCATENATE(VLOOKUP(D$2,BusinessAreaTable[],2,FALSE),VLOOKUP($B15,WorkpackageTable[],2,FALSE))</f>
        <v>0213</v>
      </c>
      <c r="E15" s="124" t="str">
        <f>CONCATENATE(VLOOKUP(E$2,BusinessAreaTable[],2,FALSE),VLOOKUP($B15,WorkpackageTable[],2,FALSE))</f>
        <v>0313</v>
      </c>
      <c r="F15" s="124" t="str">
        <f>CONCATENATE(VLOOKUP(F$2,BusinessAreaTable[],2,FALSE),VLOOKUP($B15,WorkpackageTable[],2,FALSE))</f>
        <v>0413</v>
      </c>
      <c r="G15" s="125" t="str">
        <f>CONCATENATE(VLOOKUP(G$2,BusinessAreaTable[],2,FALSE),VLOOKUP($B15,WorkpackageTable[],2,FALSE))</f>
        <v>0513</v>
      </c>
      <c r="H15" s="131"/>
      <c r="I15" s="131"/>
      <c r="J15" s="101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04"/>
      <c r="AC15" s="105"/>
      <c r="AD15" s="105"/>
      <c r="AE15" s="105"/>
      <c r="AF15" s="105"/>
    </row>
    <row r="16" spans="1:34" ht="20.100000000000001" customHeight="1" x14ac:dyDescent="0.2">
      <c r="A16" s="132"/>
      <c r="B16" s="123" t="str">
        <f>IDs!A15</f>
        <v>PM-MVUL Scan for vulnerable Middleware components</v>
      </c>
      <c r="C16" s="124" t="str">
        <f>CONCATENATE(VLOOKUP(C$2,BusinessAreaTable[],2,FALSE),VLOOKUP($B16,WorkpackageTable[],2,FALSE))</f>
        <v>0114</v>
      </c>
      <c r="D16" s="124" t="str">
        <f>CONCATENATE(VLOOKUP(D$2,BusinessAreaTable[],2,FALSE),VLOOKUP($B16,WorkpackageTable[],2,FALSE))</f>
        <v>0214</v>
      </c>
      <c r="E16" s="124" t="str">
        <f>CONCATENATE(VLOOKUP(E$2,BusinessAreaTable[],2,FALSE),VLOOKUP($B16,WorkpackageTable[],2,FALSE))</f>
        <v>0314</v>
      </c>
      <c r="F16" s="124" t="str">
        <f>CONCATENATE(VLOOKUP(F$2,BusinessAreaTable[],2,FALSE),VLOOKUP($B16,WorkpackageTable[],2,FALSE))</f>
        <v>0414</v>
      </c>
      <c r="G16" s="125" t="str">
        <f>CONCATENATE(VLOOKUP(G$2,BusinessAreaTable[],2,FALSE),VLOOKUP($B16,WorkpackageTable[],2,FALSE))</f>
        <v>0514</v>
      </c>
      <c r="H16" s="131"/>
      <c r="I16" s="131"/>
      <c r="J16" s="134"/>
      <c r="K16" s="127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04"/>
      <c r="AC16" s="105"/>
      <c r="AD16" s="105"/>
      <c r="AE16" s="105"/>
      <c r="AF16" s="105"/>
    </row>
    <row r="17" spans="1:32" ht="20.100000000000001" customHeight="1" x14ac:dyDescent="0.2">
      <c r="A17" s="132"/>
      <c r="B17" s="123" t="str">
        <f>IDs!A16</f>
        <v>PM-MHRD Middleware hardening</v>
      </c>
      <c r="C17" s="124" t="str">
        <f>CONCATENATE(VLOOKUP(C$2,BusinessAreaTable[],2,FALSE),VLOOKUP($B17,WorkpackageTable[],2,FALSE))</f>
        <v>0115</v>
      </c>
      <c r="D17" s="124" t="str">
        <f>CONCATENATE(VLOOKUP(D$2,BusinessAreaTable[],2,FALSE),VLOOKUP($B17,WorkpackageTable[],2,FALSE))</f>
        <v>0215</v>
      </c>
      <c r="E17" s="124" t="str">
        <f>CONCATENATE(VLOOKUP(E$2,BusinessAreaTable[],2,FALSE),VLOOKUP($B17,WorkpackageTable[],2,FALSE))</f>
        <v>0315</v>
      </c>
      <c r="F17" s="124" t="str">
        <f>CONCATENATE(VLOOKUP(F$2,BusinessAreaTable[],2,FALSE),VLOOKUP($B17,WorkpackageTable[],2,FALSE))</f>
        <v>0415</v>
      </c>
      <c r="G17" s="125" t="str">
        <f>CONCATENATE(VLOOKUP(G$2,BusinessAreaTable[],2,FALSE),VLOOKUP($B17,WorkpackageTable[],2,FALSE))</f>
        <v>0515</v>
      </c>
      <c r="H17" s="121"/>
      <c r="I17" s="121"/>
      <c r="J17" s="134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04"/>
      <c r="AC17" s="105"/>
      <c r="AD17" s="105"/>
      <c r="AE17" s="105"/>
      <c r="AF17" s="105"/>
    </row>
    <row r="18" spans="1:32" ht="20.100000000000001" customHeight="1" x14ac:dyDescent="0.2">
      <c r="A18" s="132"/>
      <c r="B18" s="136" t="str">
        <f>IDs!A17</f>
        <v>PM-AWRN: Awareness</v>
      </c>
      <c r="C18" s="137" t="str">
        <f>CONCATENATE(VLOOKUP(C$2,BusinessAreaTable[],2,FALSE),VLOOKUP($B18,WorkpackageTable[],2,FALSE))</f>
        <v>0116</v>
      </c>
      <c r="D18" s="137" t="str">
        <f>CONCATENATE(VLOOKUP(D$2,BusinessAreaTable[],2,FALSE),VLOOKUP($B18,WorkpackageTable[],2,FALSE))</f>
        <v>0216</v>
      </c>
      <c r="E18" s="137" t="str">
        <f>CONCATENATE(VLOOKUP(E$2,BusinessAreaTable[],2,FALSE),VLOOKUP($B18,WorkpackageTable[],2,FALSE))</f>
        <v>0316</v>
      </c>
      <c r="F18" s="137" t="str">
        <f>CONCATENATE(VLOOKUP(F$2,BusinessAreaTable[],2,FALSE),VLOOKUP($B18,WorkpackageTable[],2,FALSE))</f>
        <v>0416</v>
      </c>
      <c r="G18" s="138" t="str">
        <f>CONCATENATE(VLOOKUP(G$2,BusinessAreaTable[],2,FALSE),VLOOKUP($B18,WorkpackageTable[],2,FALSE))</f>
        <v>0516</v>
      </c>
      <c r="H18" s="131"/>
      <c r="I18" s="131"/>
      <c r="J18" s="134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04"/>
      <c r="AC18" s="105"/>
      <c r="AD18" s="105"/>
      <c r="AE18" s="105"/>
      <c r="AF18" s="105"/>
    </row>
    <row r="19" spans="1:32" ht="20.100000000000001" customHeight="1" thickBot="1" x14ac:dyDescent="0.25">
      <c r="A19" s="132"/>
      <c r="B19" s="139"/>
      <c r="C19" s="131"/>
      <c r="D19" s="131"/>
      <c r="E19" s="131"/>
      <c r="F19" s="131"/>
      <c r="G19" s="131"/>
      <c r="H19" s="134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27"/>
      <c r="AB19" s="104"/>
      <c r="AC19" s="105"/>
      <c r="AD19" s="105"/>
      <c r="AE19" s="105"/>
      <c r="AF19" s="105"/>
    </row>
    <row r="20" spans="1:32" ht="20.100000000000001" customHeight="1" thickBot="1" x14ac:dyDescent="0.25">
      <c r="A20" s="132"/>
      <c r="B20" s="139"/>
      <c r="C20" s="140"/>
      <c r="D20" s="140"/>
      <c r="E20" s="141" t="str">
        <f>IDs!P2</f>
        <v>to be started</v>
      </c>
      <c r="F20" s="127"/>
      <c r="G20" s="142"/>
      <c r="H20" s="134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27"/>
      <c r="AB20" s="104"/>
      <c r="AC20" s="105"/>
      <c r="AD20" s="105"/>
      <c r="AE20" s="105"/>
      <c r="AF20" s="105"/>
    </row>
    <row r="21" spans="1:32" ht="18.75" customHeight="1" x14ac:dyDescent="0.2">
      <c r="A21" s="132"/>
      <c r="B21" s="139"/>
      <c r="E21" s="141" t="str">
        <f>IDs!P3</f>
        <v>released</v>
      </c>
      <c r="F21" s="127"/>
      <c r="G21" s="143"/>
      <c r="H21" s="134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27"/>
      <c r="AB21" s="104"/>
      <c r="AC21" s="105"/>
      <c r="AD21" s="105"/>
      <c r="AE21" s="105"/>
      <c r="AF21" s="105"/>
    </row>
    <row r="22" spans="1:32" ht="15" x14ac:dyDescent="0.2">
      <c r="A22" s="132"/>
      <c r="B22" s="139"/>
      <c r="E22" s="141" t="str">
        <f>IDs!P4</f>
        <v>in progress</v>
      </c>
      <c r="F22" s="127"/>
      <c r="G22" s="144"/>
      <c r="H22" s="134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27"/>
      <c r="AB22" s="104"/>
      <c r="AC22" s="105"/>
      <c r="AD22" s="105"/>
      <c r="AE22" s="105"/>
      <c r="AF22" s="105"/>
    </row>
    <row r="23" spans="1:32" ht="14.25" x14ac:dyDescent="0.2">
      <c r="A23" s="145"/>
      <c r="B23" s="146"/>
      <c r="E23" s="141" t="str">
        <f>IDs!P5</f>
        <v>completed</v>
      </c>
      <c r="F23" s="127"/>
      <c r="G23" s="147"/>
      <c r="H23" s="134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27"/>
      <c r="AB23" s="104"/>
      <c r="AC23" s="105"/>
      <c r="AD23" s="105"/>
      <c r="AE23" s="105"/>
      <c r="AF23" s="105"/>
    </row>
    <row r="24" spans="1:32" ht="15" thickBot="1" x14ac:dyDescent="0.25">
      <c r="A24" s="145"/>
      <c r="B24" s="148"/>
      <c r="E24" s="141" t="str">
        <f>IDs!P6</f>
        <v>evidence provided</v>
      </c>
      <c r="F24" s="103"/>
      <c r="G24" s="149"/>
      <c r="H24" s="134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27"/>
      <c r="AB24" s="104"/>
      <c r="AC24" s="105"/>
      <c r="AD24" s="105"/>
      <c r="AE24" s="105"/>
      <c r="AF24" s="105"/>
    </row>
    <row r="25" spans="1:32" ht="14.25" x14ac:dyDescent="0.2">
      <c r="A25" s="145"/>
      <c r="B25" s="148"/>
      <c r="H25" s="134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27"/>
      <c r="AB25" s="104"/>
      <c r="AC25" s="105"/>
      <c r="AD25" s="105"/>
      <c r="AE25" s="105"/>
      <c r="AF25" s="105"/>
    </row>
    <row r="26" spans="1:32" ht="14.25" x14ac:dyDescent="0.2">
      <c r="A26" s="145"/>
      <c r="B26" s="148"/>
      <c r="C26" s="103"/>
      <c r="D26" s="103"/>
      <c r="E26" s="103"/>
      <c r="F26" s="127"/>
      <c r="G26" s="127"/>
      <c r="H26" s="134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27"/>
      <c r="AB26" s="104"/>
      <c r="AC26" s="105"/>
      <c r="AD26" s="105"/>
      <c r="AE26" s="105"/>
      <c r="AF26" s="105"/>
    </row>
    <row r="27" spans="1:32" ht="14.25" x14ac:dyDescent="0.2">
      <c r="A27" s="145"/>
      <c r="B27" s="148"/>
      <c r="C27" s="103"/>
      <c r="D27" s="103"/>
      <c r="E27" s="103"/>
      <c r="F27" s="127"/>
      <c r="G27" s="127"/>
      <c r="H27" s="134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27"/>
      <c r="AB27" s="104"/>
      <c r="AC27" s="105"/>
      <c r="AD27" s="105"/>
      <c r="AE27" s="105"/>
      <c r="AF27" s="105"/>
    </row>
    <row r="28" spans="1:32" ht="14.25" x14ac:dyDescent="0.2">
      <c r="A28" s="145"/>
      <c r="B28" s="150"/>
      <c r="C28" s="151"/>
      <c r="D28" s="151"/>
      <c r="E28" s="141"/>
      <c r="F28" s="152"/>
      <c r="G28" s="127"/>
      <c r="H28" s="134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27"/>
      <c r="AB28" s="104"/>
      <c r="AC28" s="105"/>
      <c r="AD28" s="105"/>
      <c r="AE28" s="105"/>
      <c r="AF28" s="105"/>
    </row>
    <row r="29" spans="1:32" ht="14.25" x14ac:dyDescent="0.2">
      <c r="A29" s="145"/>
      <c r="B29" s="150"/>
      <c r="C29" s="148"/>
      <c r="D29" s="148"/>
      <c r="E29" s="141"/>
      <c r="F29" s="153"/>
      <c r="G29" s="130"/>
      <c r="H29" s="134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27"/>
      <c r="AB29" s="104"/>
      <c r="AC29" s="105"/>
      <c r="AD29" s="105"/>
      <c r="AE29" s="105"/>
      <c r="AF29" s="105"/>
    </row>
    <row r="30" spans="1:32" x14ac:dyDescent="0.2">
      <c r="A30" s="145"/>
      <c r="B30" s="150"/>
      <c r="C30" s="150"/>
      <c r="D30" s="150"/>
      <c r="E30" s="154"/>
      <c r="F30" s="153"/>
      <c r="G30" s="155"/>
      <c r="H30" s="134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27"/>
      <c r="AB30" s="104"/>
      <c r="AC30" s="105"/>
      <c r="AD30" s="105"/>
      <c r="AE30" s="105"/>
      <c r="AF30" s="105"/>
    </row>
    <row r="31" spans="1:32" x14ac:dyDescent="0.2">
      <c r="A31" s="145"/>
      <c r="B31" s="150"/>
      <c r="C31" s="150"/>
      <c r="D31" s="150"/>
      <c r="E31" s="154"/>
      <c r="F31" s="153"/>
      <c r="G31" s="155"/>
      <c r="H31" s="134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27"/>
      <c r="AB31" s="104"/>
      <c r="AC31" s="105"/>
      <c r="AD31" s="105"/>
      <c r="AE31" s="105"/>
      <c r="AF31" s="105"/>
    </row>
    <row r="32" spans="1:32" x14ac:dyDescent="0.2">
      <c r="A32" s="145"/>
      <c r="B32" s="156"/>
      <c r="C32" s="157"/>
      <c r="D32" s="157"/>
      <c r="E32" s="157"/>
      <c r="F32" s="158"/>
      <c r="G32" s="159"/>
      <c r="H32" s="134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27"/>
      <c r="AB32" s="104"/>
      <c r="AC32" s="105"/>
      <c r="AD32" s="105"/>
      <c r="AE32" s="105"/>
      <c r="AF32" s="105"/>
    </row>
    <row r="33" spans="1:32" x14ac:dyDescent="0.2">
      <c r="A33" s="145"/>
      <c r="B33" s="156"/>
      <c r="C33" s="157"/>
      <c r="D33" s="157"/>
      <c r="E33" s="157"/>
      <c r="F33" s="158"/>
      <c r="G33" s="159"/>
      <c r="H33" s="134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27"/>
      <c r="AB33" s="104"/>
      <c r="AC33" s="105"/>
      <c r="AD33" s="105"/>
      <c r="AE33" s="105"/>
      <c r="AF33" s="105"/>
    </row>
    <row r="34" spans="1:32" x14ac:dyDescent="0.2">
      <c r="A34" s="145"/>
      <c r="B34" s="156"/>
      <c r="C34" s="157"/>
      <c r="D34" s="157"/>
      <c r="E34" s="157"/>
      <c r="F34" s="158"/>
      <c r="G34" s="159"/>
      <c r="H34" s="134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27"/>
      <c r="AB34" s="104"/>
      <c r="AC34" s="105"/>
      <c r="AD34" s="105"/>
      <c r="AE34" s="105"/>
      <c r="AF34" s="105"/>
    </row>
    <row r="35" spans="1:32" x14ac:dyDescent="0.2">
      <c r="A35" s="145"/>
      <c r="B35" s="156"/>
      <c r="C35" s="157"/>
      <c r="D35" s="157"/>
      <c r="E35" s="157"/>
      <c r="F35" s="158"/>
      <c r="G35" s="159"/>
      <c r="H35" s="134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27"/>
      <c r="AB35" s="104"/>
      <c r="AC35" s="105"/>
      <c r="AD35" s="105"/>
      <c r="AE35" s="105"/>
      <c r="AF35" s="105"/>
    </row>
    <row r="36" spans="1:32" x14ac:dyDescent="0.2">
      <c r="A36" s="145"/>
      <c r="B36" s="156"/>
      <c r="C36" s="157"/>
      <c r="D36" s="157"/>
      <c r="E36" s="157"/>
      <c r="F36" s="158"/>
      <c r="G36" s="159"/>
      <c r="H36" s="134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27"/>
      <c r="AB36" s="104"/>
      <c r="AC36" s="105"/>
      <c r="AD36" s="105"/>
      <c r="AE36" s="105"/>
      <c r="AF36" s="105"/>
    </row>
    <row r="37" spans="1:32" x14ac:dyDescent="0.2">
      <c r="A37" s="145"/>
      <c r="B37" s="160"/>
      <c r="C37" s="160"/>
      <c r="D37" s="160"/>
      <c r="E37" s="160"/>
      <c r="F37" s="161"/>
      <c r="G37" s="127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27"/>
      <c r="AB37" s="104"/>
      <c r="AC37" s="105"/>
      <c r="AD37" s="105"/>
      <c r="AE37" s="105"/>
      <c r="AF37" s="105"/>
    </row>
    <row r="38" spans="1:32" x14ac:dyDescent="0.2">
      <c r="A38" s="145"/>
      <c r="B38" s="112"/>
      <c r="C38" s="112"/>
      <c r="D38" s="112"/>
      <c r="E38" s="112"/>
      <c r="F38" s="112"/>
      <c r="G38" s="101"/>
      <c r="H38" s="134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27"/>
      <c r="AB38" s="104"/>
      <c r="AC38" s="105"/>
      <c r="AD38" s="105"/>
      <c r="AE38" s="105"/>
      <c r="AF38" s="105"/>
    </row>
    <row r="39" spans="1:32" x14ac:dyDescent="0.2">
      <c r="A39" s="162"/>
      <c r="B39" s="112"/>
      <c r="C39" s="103"/>
      <c r="D39" s="103"/>
      <c r="E39" s="103"/>
      <c r="F39" s="103"/>
      <c r="G39" s="127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27"/>
      <c r="AB39" s="104"/>
      <c r="AC39" s="105"/>
      <c r="AD39" s="105"/>
      <c r="AE39" s="105"/>
      <c r="AF39" s="105"/>
    </row>
    <row r="40" spans="1:32" x14ac:dyDescent="0.2">
      <c r="A40" s="162"/>
      <c r="B40" s="112"/>
      <c r="C40" s="103"/>
      <c r="D40" s="103"/>
      <c r="E40" s="103"/>
      <c r="F40" s="103"/>
      <c r="G40" s="127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27"/>
      <c r="AB40" s="104"/>
      <c r="AC40" s="105"/>
      <c r="AD40" s="105"/>
      <c r="AE40" s="105"/>
      <c r="AF40" s="105"/>
    </row>
    <row r="41" spans="1:32" x14ac:dyDescent="0.2">
      <c r="A41" s="162"/>
      <c r="B41" s="112"/>
      <c r="C41" s="103"/>
      <c r="D41" s="103"/>
      <c r="E41" s="103"/>
      <c r="F41" s="103"/>
      <c r="G41" s="127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27"/>
      <c r="AB41" s="104"/>
      <c r="AC41" s="105"/>
      <c r="AD41" s="105"/>
      <c r="AE41" s="105"/>
      <c r="AF41" s="105"/>
    </row>
    <row r="42" spans="1:32" x14ac:dyDescent="0.2">
      <c r="A42" s="162"/>
      <c r="B42" s="112"/>
      <c r="C42" s="103"/>
      <c r="D42" s="103"/>
      <c r="E42" s="103"/>
      <c r="F42" s="103"/>
      <c r="G42" s="127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27"/>
      <c r="AB42" s="104"/>
      <c r="AC42" s="105"/>
      <c r="AD42" s="105"/>
      <c r="AE42" s="105"/>
      <c r="AF42" s="105"/>
    </row>
    <row r="43" spans="1:32" x14ac:dyDescent="0.2">
      <c r="A43" s="162"/>
      <c r="B43" s="112"/>
      <c r="C43" s="103"/>
      <c r="D43" s="103"/>
      <c r="E43" s="103"/>
      <c r="F43" s="103"/>
      <c r="G43" s="127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27"/>
      <c r="AB43" s="104"/>
      <c r="AC43" s="105"/>
      <c r="AD43" s="105"/>
      <c r="AE43" s="105"/>
      <c r="AF43" s="105"/>
    </row>
    <row r="44" spans="1:32" x14ac:dyDescent="0.2">
      <c r="A44" s="162"/>
      <c r="B44" s="112"/>
      <c r="C44" s="103"/>
      <c r="D44" s="103"/>
      <c r="E44" s="103"/>
      <c r="F44" s="103"/>
      <c r="G44" s="127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27"/>
      <c r="AB44" s="104"/>
      <c r="AC44" s="105"/>
      <c r="AD44" s="105"/>
      <c r="AE44" s="105"/>
      <c r="AF44" s="105"/>
    </row>
    <row r="45" spans="1:32" x14ac:dyDescent="0.2">
      <c r="A45" s="162"/>
      <c r="B45" s="112"/>
      <c r="C45" s="103"/>
      <c r="D45" s="103"/>
      <c r="E45" s="103"/>
      <c r="F45" s="103"/>
      <c r="G45" s="127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27"/>
      <c r="AB45" s="104"/>
      <c r="AC45" s="105"/>
      <c r="AD45" s="105"/>
      <c r="AE45" s="105"/>
      <c r="AF45" s="105"/>
    </row>
    <row r="46" spans="1:32" x14ac:dyDescent="0.2">
      <c r="A46" s="162"/>
      <c r="B46" s="112"/>
      <c r="C46" s="103"/>
      <c r="D46" s="103"/>
      <c r="E46" s="103"/>
      <c r="F46" s="103"/>
      <c r="G46" s="127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27"/>
      <c r="AB46" s="104"/>
      <c r="AC46" s="105"/>
      <c r="AD46" s="105"/>
      <c r="AE46" s="105"/>
      <c r="AF46" s="105"/>
    </row>
    <row r="47" spans="1:32" x14ac:dyDescent="0.2">
      <c r="A47" s="162"/>
      <c r="B47" s="112"/>
      <c r="C47" s="103"/>
      <c r="D47" s="103"/>
      <c r="E47" s="103"/>
      <c r="F47" s="103"/>
      <c r="G47" s="127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27"/>
      <c r="AB47" s="104"/>
      <c r="AC47" s="105"/>
      <c r="AD47" s="105"/>
      <c r="AE47" s="105"/>
      <c r="AF47" s="105"/>
    </row>
    <row r="48" spans="1:32" x14ac:dyDescent="0.2">
      <c r="A48" s="162"/>
      <c r="B48" s="112"/>
      <c r="C48" s="103"/>
      <c r="D48" s="103"/>
      <c r="E48" s="103"/>
      <c r="F48" s="103"/>
      <c r="G48" s="127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27"/>
      <c r="AB48" s="104"/>
      <c r="AC48" s="105"/>
      <c r="AD48" s="105"/>
      <c r="AE48" s="105"/>
      <c r="AF48" s="105"/>
    </row>
    <row r="49" spans="1:32" x14ac:dyDescent="0.2">
      <c r="A49" s="162"/>
      <c r="B49" s="112"/>
      <c r="C49" s="103"/>
      <c r="D49" s="103"/>
      <c r="E49" s="103"/>
      <c r="F49" s="103"/>
      <c r="G49" s="127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27"/>
      <c r="AB49" s="104"/>
      <c r="AC49" s="105"/>
      <c r="AD49" s="105"/>
      <c r="AE49" s="105"/>
      <c r="AF49" s="105"/>
    </row>
    <row r="50" spans="1:32" x14ac:dyDescent="0.2">
      <c r="A50" s="162"/>
      <c r="B50" s="112"/>
      <c r="C50" s="103"/>
      <c r="D50" s="103"/>
      <c r="E50" s="103"/>
      <c r="F50" s="103"/>
      <c r="G50" s="127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27"/>
      <c r="AB50" s="104"/>
      <c r="AC50" s="105"/>
      <c r="AD50" s="105"/>
      <c r="AE50" s="105"/>
      <c r="AF50" s="105"/>
    </row>
    <row r="51" spans="1:32" x14ac:dyDescent="0.2">
      <c r="A51" s="162"/>
      <c r="B51" s="112"/>
      <c r="C51" s="103"/>
      <c r="D51" s="103"/>
      <c r="E51" s="103"/>
      <c r="F51" s="103"/>
      <c r="G51" s="127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27"/>
      <c r="AB51" s="104"/>
      <c r="AC51" s="105"/>
      <c r="AD51" s="105"/>
      <c r="AE51" s="105"/>
      <c r="AF51" s="105"/>
    </row>
    <row r="52" spans="1:32" x14ac:dyDescent="0.2">
      <c r="A52" s="162"/>
      <c r="B52" s="112"/>
      <c r="C52" s="103"/>
      <c r="D52" s="103"/>
      <c r="E52" s="103"/>
      <c r="F52" s="103"/>
      <c r="G52" s="127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27"/>
      <c r="AB52" s="104"/>
    </row>
    <row r="53" spans="1:32" x14ac:dyDescent="0.2">
      <c r="A53" s="162"/>
      <c r="B53" s="112"/>
      <c r="C53" s="103"/>
      <c r="D53" s="103"/>
      <c r="E53" s="103"/>
      <c r="F53" s="103"/>
      <c r="G53" s="127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27"/>
      <c r="AB53" s="104"/>
    </row>
    <row r="54" spans="1:32" x14ac:dyDescent="0.2">
      <c r="A54" s="162"/>
      <c r="B54" s="112"/>
      <c r="C54" s="103"/>
      <c r="D54" s="103"/>
      <c r="E54" s="103"/>
      <c r="F54" s="103"/>
      <c r="G54" s="127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27"/>
      <c r="AB54" s="104"/>
    </row>
    <row r="55" spans="1:32" x14ac:dyDescent="0.2">
      <c r="A55" s="162"/>
      <c r="B55" s="112"/>
      <c r="C55" s="103"/>
      <c r="D55" s="103"/>
      <c r="E55" s="103"/>
      <c r="F55" s="103"/>
      <c r="G55" s="127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27"/>
      <c r="AB55" s="104"/>
    </row>
    <row r="56" spans="1:32" x14ac:dyDescent="0.2">
      <c r="A56" s="104"/>
      <c r="B56" s="112"/>
      <c r="C56" s="103"/>
      <c r="D56" s="103"/>
      <c r="E56" s="103"/>
      <c r="F56" s="103"/>
      <c r="G56" s="127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27"/>
      <c r="AB56" s="104"/>
    </row>
    <row r="57" spans="1:32" x14ac:dyDescent="0.2">
      <c r="A57" s="104"/>
      <c r="B57" s="112"/>
      <c r="C57" s="103"/>
      <c r="D57" s="103"/>
      <c r="E57" s="103"/>
      <c r="F57" s="103"/>
      <c r="G57" s="103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27"/>
      <c r="AB57" s="104"/>
    </row>
    <row r="58" spans="1:32" ht="5.25" customHeight="1" x14ac:dyDescent="0.2">
      <c r="A58" s="163"/>
      <c r="B58" s="164" t="s">
        <v>35</v>
      </c>
      <c r="C58" s="164"/>
      <c r="D58" s="164"/>
      <c r="E58" s="164"/>
      <c r="F58" s="164"/>
      <c r="G58" s="164"/>
      <c r="H58" s="164"/>
      <c r="I58" s="165"/>
      <c r="J58" s="165"/>
      <c r="K58" s="165"/>
      <c r="L58" s="165"/>
      <c r="M58" s="165"/>
      <c r="N58" s="145"/>
      <c r="O58" s="145"/>
      <c r="P58" s="145"/>
      <c r="Q58" s="145"/>
      <c r="R58" s="145"/>
      <c r="S58" s="145"/>
      <c r="T58" s="162"/>
      <c r="U58" s="162"/>
      <c r="V58" s="162"/>
      <c r="W58" s="162"/>
      <c r="X58" s="162"/>
      <c r="Y58" s="162"/>
      <c r="Z58" s="162"/>
      <c r="AA58" s="162"/>
      <c r="AB58" s="104"/>
      <c r="AC58" s="105"/>
      <c r="AD58" s="105"/>
      <c r="AE58" s="105"/>
      <c r="AF58" s="105"/>
    </row>
    <row r="59" spans="1:32" x14ac:dyDescent="0.2">
      <c r="A59" s="104"/>
      <c r="B59" s="116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5"/>
      <c r="AD59" s="105"/>
      <c r="AE59" s="105"/>
      <c r="AF59" s="105"/>
    </row>
    <row r="60" spans="1:32" x14ac:dyDescent="0.2">
      <c r="A60" s="104"/>
      <c r="B60" s="116"/>
      <c r="C60" s="104"/>
      <c r="D60" s="104"/>
      <c r="E60" s="104"/>
      <c r="F60" s="104"/>
      <c r="G60" s="104"/>
      <c r="H60" s="104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04"/>
      <c r="AC60" s="105"/>
      <c r="AD60" s="105"/>
      <c r="AE60" s="105"/>
      <c r="AF60" s="105"/>
    </row>
    <row r="61" spans="1:32" ht="27" thickBot="1" x14ac:dyDescent="0.45">
      <c r="A61" s="105"/>
      <c r="I61" s="167" t="s">
        <v>406</v>
      </c>
      <c r="J61" s="168"/>
      <c r="K61" s="168"/>
      <c r="L61" s="168"/>
      <c r="M61" s="169"/>
      <c r="N61" s="169"/>
      <c r="O61" s="169"/>
      <c r="P61" s="169"/>
      <c r="Q61" s="169"/>
      <c r="R61" s="169"/>
      <c r="S61" s="169"/>
      <c r="T61" s="169"/>
      <c r="U61" s="169"/>
      <c r="V61" s="127"/>
      <c r="W61" s="127"/>
      <c r="AA61" s="166"/>
      <c r="AB61" s="104"/>
      <c r="AC61" s="105"/>
      <c r="AD61" s="105"/>
      <c r="AE61" s="105"/>
      <c r="AF61" s="105"/>
    </row>
    <row r="62" spans="1:32" ht="24.75" customHeight="1" thickTop="1" thickBot="1" x14ac:dyDescent="0.4">
      <c r="A62" s="159"/>
      <c r="I62" s="170" t="str">
        <f ca="1">IF(INDIRECT("Issues!A6")&lt;&gt;"",INDIRECT("Issues!B6"),"")</f>
        <v/>
      </c>
      <c r="J62" s="171" t="str">
        <f ca="1">IF(INDIRECT("Issues!A6")&lt;&gt;"",INDIRECT("Issues!H6"),"")</f>
        <v/>
      </c>
      <c r="K62" s="171"/>
      <c r="L62" s="171"/>
      <c r="M62" s="172"/>
      <c r="N62" s="170"/>
      <c r="O62" s="185" t="str">
        <f ca="1">IF(INDIRECT("Issues!A6")&lt;&gt;"",INDIRECT("Issues!E6"),"")</f>
        <v/>
      </c>
      <c r="P62" s="185"/>
      <c r="Q62" s="185"/>
      <c r="R62" s="185"/>
      <c r="S62" s="185"/>
      <c r="T62" s="185"/>
      <c r="U62" s="185"/>
      <c r="V62" s="173"/>
      <c r="W62" s="173"/>
      <c r="AA62" s="166"/>
      <c r="AB62" s="104"/>
      <c r="AC62" s="105"/>
      <c r="AD62" s="105"/>
      <c r="AE62" s="105"/>
      <c r="AF62" s="105"/>
    </row>
    <row r="63" spans="1:32" ht="24.75" customHeight="1" thickTop="1" thickBot="1" x14ac:dyDescent="0.4">
      <c r="A63" s="159"/>
      <c r="I63" s="174" t="str">
        <f ca="1">IF(INDIRECT("Issues!A7")&lt;&gt;"",INDIRECT("Issues!B7"),"")</f>
        <v/>
      </c>
      <c r="J63" s="175" t="str">
        <f ca="1">IF(INDIRECT("Issues!A7")&lt;&gt;"",INDIRECT("Issues!H7"),"")</f>
        <v/>
      </c>
      <c r="K63" s="176"/>
      <c r="L63" s="176"/>
      <c r="M63" s="174"/>
      <c r="N63" s="174"/>
      <c r="O63" s="186" t="str">
        <f ca="1">IF(INDIRECT("Issues!A7")&lt;&gt;"",INDIRECT("Issues!E7"),"")</f>
        <v/>
      </c>
      <c r="P63" s="186"/>
      <c r="Q63" s="186"/>
      <c r="R63" s="186"/>
      <c r="S63" s="186"/>
      <c r="T63" s="186"/>
      <c r="U63" s="186"/>
      <c r="V63" s="127"/>
      <c r="W63" s="127"/>
      <c r="AA63" s="166"/>
      <c r="AB63" s="104"/>
    </row>
    <row r="64" spans="1:32" ht="24.75" customHeight="1" thickTop="1" thickBot="1" x14ac:dyDescent="0.4">
      <c r="A64" s="159"/>
      <c r="I64" s="174" t="str">
        <f ca="1">IF(INDIRECT("Issues!A8")&lt;&gt;"",INDIRECT("Issues!B8"),"")</f>
        <v/>
      </c>
      <c r="J64" s="175" t="str">
        <f ca="1">IF(INDIRECT("Issues!A8")&lt;&gt;"",INDIRECT("Issues!H8"),"")</f>
        <v/>
      </c>
      <c r="K64" s="177"/>
      <c r="L64" s="177"/>
      <c r="M64" s="174"/>
      <c r="N64" s="174"/>
      <c r="O64" s="178" t="str">
        <f ca="1">IF(INDIRECT("Issues!A8")&lt;&gt;"",INDIRECT("Issues!E8"),"")</f>
        <v/>
      </c>
      <c r="P64" s="178"/>
      <c r="Q64" s="178"/>
      <c r="R64" s="178"/>
      <c r="S64" s="178"/>
      <c r="T64" s="178"/>
      <c r="U64" s="178"/>
      <c r="V64" s="127"/>
      <c r="W64" s="127"/>
      <c r="AA64" s="166"/>
      <c r="AB64" s="104"/>
    </row>
    <row r="65" spans="1:28" ht="24.75" customHeight="1" thickTop="1" thickBot="1" x14ac:dyDescent="0.4">
      <c r="A65" s="159"/>
      <c r="I65" s="174" t="str">
        <f ca="1">IF(INDIRECT("Issues!A9")&lt;&gt;"",INDIRECT("Issues!B9"),"")</f>
        <v/>
      </c>
      <c r="J65" s="175" t="str">
        <f ca="1">IF(INDIRECT("Issues!A9")&lt;&gt;"",INDIRECT("Issues!H9"),"")</f>
        <v/>
      </c>
      <c r="K65" s="174"/>
      <c r="L65" s="174"/>
      <c r="M65" s="174"/>
      <c r="N65" s="174"/>
      <c r="O65" s="178" t="str">
        <f ca="1">IF(INDIRECT("Issues!A9")&lt;&gt;"",INDIRECT("Issues!E9"),"")</f>
        <v/>
      </c>
      <c r="P65" s="178"/>
      <c r="Q65" s="178"/>
      <c r="R65" s="178"/>
      <c r="S65" s="178"/>
      <c r="T65" s="178"/>
      <c r="U65" s="178"/>
      <c r="V65" s="127"/>
      <c r="W65" s="127"/>
      <c r="AA65" s="166"/>
      <c r="AB65" s="104"/>
    </row>
    <row r="66" spans="1:28" ht="24.75" customHeight="1" thickTop="1" thickBot="1" x14ac:dyDescent="0.4">
      <c r="A66" s="159"/>
      <c r="I66" s="174" t="str">
        <f ca="1">IF(INDIRECT("Issues!A10")&lt;&gt;"",INDIRECT("Issues!B10"),"")</f>
        <v/>
      </c>
      <c r="J66" s="175" t="str">
        <f ca="1">IF(INDIRECT("Issues!A10")&lt;&gt;"",INDIRECT("Issues!H10"),"")</f>
        <v/>
      </c>
      <c r="K66" s="174"/>
      <c r="L66" s="174"/>
      <c r="M66" s="174"/>
      <c r="N66" s="174"/>
      <c r="O66" s="178" t="str">
        <f ca="1">IF(INDIRECT("Issues!A10")&lt;&gt;"",INDIRECT("Issues!E10"),"")</f>
        <v/>
      </c>
      <c r="P66" s="178"/>
      <c r="Q66" s="178"/>
      <c r="R66" s="178"/>
      <c r="S66" s="178"/>
      <c r="T66" s="178"/>
      <c r="U66" s="178"/>
      <c r="V66" s="179"/>
      <c r="W66" s="179"/>
      <c r="AA66" s="166"/>
      <c r="AB66" s="104"/>
    </row>
    <row r="67" spans="1:28" ht="24.75" customHeight="1" thickTop="1" thickBot="1" x14ac:dyDescent="0.4">
      <c r="A67" s="159"/>
      <c r="I67" s="174" t="str">
        <f ca="1">IF(INDIRECT("Issues!A11")&lt;&gt;"",INDIRECT("Issues!B11"),"")</f>
        <v/>
      </c>
      <c r="J67" s="175" t="str">
        <f ca="1">IF(INDIRECT("Issues!A11")&lt;&gt;"",INDIRECT("Issues!H11"),"")</f>
        <v/>
      </c>
      <c r="K67" s="174"/>
      <c r="L67" s="174"/>
      <c r="M67" s="174"/>
      <c r="N67" s="174"/>
      <c r="O67" s="178" t="str">
        <f ca="1">IF(INDIRECT("Issues!A11")&lt;&gt;"",INDIRECT("Issues!E11"),"")</f>
        <v/>
      </c>
      <c r="P67" s="178"/>
      <c r="Q67" s="178"/>
      <c r="R67" s="178"/>
      <c r="S67" s="178"/>
      <c r="T67" s="178"/>
      <c r="U67" s="178"/>
      <c r="V67" s="127"/>
      <c r="W67" s="127"/>
      <c r="AA67" s="166"/>
      <c r="AB67" s="104"/>
    </row>
    <row r="68" spans="1:28" ht="24.75" customHeight="1" thickTop="1" thickBot="1" x14ac:dyDescent="0.4">
      <c r="A68" s="159"/>
      <c r="I68" s="174" t="str">
        <f ca="1">IF(INDIRECT("Issues!A12")&lt;&gt;"",INDIRECT("Issues!B12"),"")</f>
        <v/>
      </c>
      <c r="J68" s="175" t="str">
        <f ca="1">IF(INDIRECT("Issues!A12")&lt;&gt;"",INDIRECT("Issues!H12"),"")</f>
        <v/>
      </c>
      <c r="K68" s="174"/>
      <c r="L68" s="174"/>
      <c r="M68" s="174"/>
      <c r="N68" s="174"/>
      <c r="O68" s="178" t="str">
        <f ca="1">IF(INDIRECT("Issues!A12")&lt;&gt;"",INDIRECT("Issues!E12"),"")</f>
        <v/>
      </c>
      <c r="P68" s="178"/>
      <c r="Q68" s="178"/>
      <c r="R68" s="178"/>
      <c r="S68" s="178"/>
      <c r="T68" s="178"/>
      <c r="U68" s="178"/>
      <c r="V68" s="127"/>
      <c r="W68" s="127"/>
      <c r="AA68" s="166"/>
      <c r="AB68" s="104"/>
    </row>
    <row r="69" spans="1:28" ht="24.75" customHeight="1" thickTop="1" thickBot="1" x14ac:dyDescent="0.4">
      <c r="A69" s="159"/>
      <c r="I69" s="180" t="str">
        <f ca="1">IF(INDIRECT("Issues!A13")&lt;&gt;"",INDIRECT("Issues!B13"),"")</f>
        <v/>
      </c>
      <c r="J69" s="181" t="str">
        <f ca="1">IF(INDIRECT("Issues!A13")&lt;&gt;"",INDIRECT("Issues!H13"),"")</f>
        <v/>
      </c>
      <c r="K69" s="180"/>
      <c r="L69" s="180"/>
      <c r="M69" s="180"/>
      <c r="N69" s="180"/>
      <c r="O69" s="182" t="str">
        <f ca="1">IF(INDIRECT("Issues!A13")&lt;&gt;"",INDIRECT("Issues!E13"),"")</f>
        <v/>
      </c>
      <c r="P69" s="182"/>
      <c r="Q69" s="182"/>
      <c r="R69" s="182"/>
      <c r="S69" s="182"/>
      <c r="T69" s="182"/>
      <c r="U69" s="182"/>
      <c r="V69" s="127"/>
      <c r="W69" s="127"/>
      <c r="AA69" s="166"/>
      <c r="AB69" s="104"/>
    </row>
    <row r="70" spans="1:28" ht="18.75" customHeight="1" thickTop="1" x14ac:dyDescent="0.2">
      <c r="A70" s="166"/>
      <c r="B70" s="104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/>
      <c r="AA70" s="166"/>
      <c r="AB70" s="104"/>
    </row>
    <row r="71" spans="1:28" x14ac:dyDescent="0.2">
      <c r="A71" s="166"/>
      <c r="B71" s="163"/>
      <c r="C71" s="166"/>
      <c r="D71" s="166"/>
      <c r="E71" s="166"/>
      <c r="F71" s="166"/>
      <c r="G71" s="166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04"/>
    </row>
    <row r="72" spans="1:28" x14ac:dyDescent="0.2">
      <c r="A72" s="166"/>
      <c r="B72" s="163"/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04"/>
    </row>
    <row r="73" spans="1:28" x14ac:dyDescent="0.2">
      <c r="A73" s="166"/>
      <c r="B73" s="163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04"/>
    </row>
    <row r="74" spans="1:28" x14ac:dyDescent="0.2">
      <c r="A74" s="166"/>
      <c r="B74" s="163"/>
      <c r="C74" s="166"/>
      <c r="D74" s="166"/>
      <c r="E74" s="166"/>
      <c r="F74" s="166"/>
      <c r="G74" s="166"/>
      <c r="H74" s="166"/>
      <c r="I74" s="166"/>
      <c r="J74" s="166"/>
      <c r="K74" s="166"/>
      <c r="L74" s="166"/>
      <c r="M74" s="166"/>
      <c r="N74" s="166"/>
      <c r="O74" s="166"/>
      <c r="P74" s="166"/>
      <c r="Q74" s="166"/>
      <c r="R74" s="166"/>
      <c r="S74" s="166"/>
      <c r="T74" s="166"/>
      <c r="U74" s="166"/>
      <c r="V74" s="166"/>
      <c r="W74" s="166"/>
      <c r="X74" s="166"/>
      <c r="Y74" s="166"/>
      <c r="Z74" s="166"/>
      <c r="AA74" s="166"/>
      <c r="AB74" s="104"/>
    </row>
    <row r="75" spans="1:28" x14ac:dyDescent="0.2">
      <c r="A75" s="104"/>
      <c r="B75" s="116"/>
      <c r="C75" s="104"/>
      <c r="D75" s="104"/>
      <c r="E75" s="104"/>
      <c r="F75" s="104"/>
      <c r="G75" s="104"/>
      <c r="H75" s="104"/>
      <c r="I75" s="166"/>
      <c r="J75" s="166"/>
      <c r="K75" s="166"/>
      <c r="L75" s="166"/>
      <c r="M75" s="166"/>
      <c r="N75" s="166"/>
      <c r="O75" s="166"/>
      <c r="P75" s="166"/>
      <c r="Q75" s="166"/>
      <c r="R75" s="166"/>
      <c r="S75" s="166"/>
      <c r="T75" s="166"/>
      <c r="U75" s="166"/>
      <c r="V75" s="166"/>
      <c r="W75" s="166"/>
      <c r="X75" s="166"/>
      <c r="Y75" s="166"/>
      <c r="Z75" s="166"/>
      <c r="AA75" s="166"/>
      <c r="AB75" s="104"/>
    </row>
    <row r="76" spans="1:28" x14ac:dyDescent="0.2">
      <c r="A76" s="104"/>
      <c r="B76" s="116"/>
      <c r="C76" s="104"/>
      <c r="D76" s="104"/>
      <c r="E76" s="104"/>
      <c r="F76" s="104"/>
      <c r="G76" s="104"/>
      <c r="H76" s="104"/>
      <c r="I76" s="166"/>
      <c r="J76" s="166"/>
      <c r="K76" s="166"/>
      <c r="L76" s="166"/>
      <c r="M76" s="166"/>
      <c r="N76" s="166"/>
      <c r="O76" s="166"/>
      <c r="P76" s="166"/>
      <c r="Q76" s="166"/>
      <c r="R76" s="166"/>
      <c r="S76" s="166"/>
      <c r="T76" s="166"/>
      <c r="U76" s="166"/>
      <c r="V76" s="166"/>
      <c r="W76" s="166"/>
      <c r="X76" s="166"/>
      <c r="Y76" s="166"/>
      <c r="Z76" s="166"/>
      <c r="AA76" s="166"/>
      <c r="AB76" s="104"/>
    </row>
    <row r="77" spans="1:28" x14ac:dyDescent="0.2">
      <c r="A77" s="104"/>
      <c r="B77" s="116"/>
      <c r="C77" s="104"/>
      <c r="D77" s="104"/>
      <c r="E77" s="104"/>
      <c r="F77" s="104"/>
      <c r="G77" s="104"/>
      <c r="H77" s="104"/>
      <c r="I77" s="166"/>
      <c r="J77" s="166"/>
      <c r="K77" s="166"/>
      <c r="L77" s="166"/>
      <c r="M77" s="166"/>
      <c r="N77" s="166"/>
      <c r="O77" s="166"/>
      <c r="P77" s="166"/>
      <c r="Q77" s="166"/>
      <c r="R77" s="166"/>
      <c r="S77" s="166"/>
      <c r="T77" s="166"/>
      <c r="U77" s="166"/>
      <c r="V77" s="166"/>
      <c r="W77" s="166"/>
      <c r="X77" s="166"/>
      <c r="Y77" s="166"/>
      <c r="Z77" s="166"/>
      <c r="AA77" s="166"/>
      <c r="AB77" s="104"/>
    </row>
    <row r="78" spans="1:28" x14ac:dyDescent="0.2">
      <c r="A78" s="104"/>
      <c r="B78" s="116"/>
      <c r="C78" s="104"/>
      <c r="D78" s="104"/>
      <c r="E78" s="104"/>
      <c r="F78" s="104"/>
      <c r="G78" s="104"/>
      <c r="H78" s="104"/>
      <c r="I78" s="166"/>
      <c r="J78" s="166"/>
      <c r="K78" s="166"/>
      <c r="L78" s="166"/>
      <c r="M78" s="166"/>
      <c r="N78" s="166"/>
      <c r="O78" s="166"/>
      <c r="P78" s="166"/>
      <c r="Q78" s="166"/>
      <c r="R78" s="166"/>
      <c r="S78" s="166"/>
      <c r="T78" s="166"/>
      <c r="U78" s="166"/>
      <c r="V78" s="166"/>
      <c r="W78" s="166"/>
      <c r="X78" s="166"/>
      <c r="Y78" s="166"/>
      <c r="Z78" s="166"/>
      <c r="AA78" s="166"/>
      <c r="AB78" s="104"/>
    </row>
    <row r="79" spans="1:28" x14ac:dyDescent="0.2">
      <c r="A79" s="105"/>
      <c r="B79" s="117"/>
      <c r="C79" s="105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</row>
    <row r="80" spans="1:28" x14ac:dyDescent="0.2">
      <c r="A80" s="105"/>
      <c r="B80" s="117"/>
      <c r="C80" s="105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</row>
    <row r="81" spans="1:27" x14ac:dyDescent="0.2">
      <c r="A81" s="105"/>
      <c r="B81" s="117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</row>
    <row r="82" spans="1:27" x14ac:dyDescent="0.2">
      <c r="A82" s="105"/>
      <c r="B82" s="117"/>
      <c r="C82" s="105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  <c r="AA82" s="105"/>
    </row>
    <row r="83" spans="1:27" x14ac:dyDescent="0.2">
      <c r="A83" s="105"/>
      <c r="B83" s="117"/>
      <c r="C83" s="105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  <c r="AA83" s="105"/>
    </row>
    <row r="84" spans="1:27" x14ac:dyDescent="0.2">
      <c r="A84" s="105"/>
      <c r="B84" s="117"/>
      <c r="C84" s="105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  <c r="AA84" s="105"/>
    </row>
  </sheetData>
  <mergeCells count="2">
    <mergeCell ref="O62:U62"/>
    <mergeCell ref="O63:U63"/>
  </mergeCells>
  <conditionalFormatting sqref="E1:E2 E19 E26:E1048576 G20:G24">
    <cfRule type="cellIs" dxfId="34" priority="13" operator="equal">
      <formula>"Active"</formula>
    </cfRule>
    <cfRule type="cellIs" dxfId="33" priority="14" operator="equal">
      <formula>"Inactive"</formula>
    </cfRule>
  </conditionalFormatting>
  <pageMargins left="0.70866141732283472" right="0.70866141732283472" top="0.78740157480314965" bottom="0.78740157480314965" header="0.31496062992125984" footer="0.31496062992125984"/>
  <pageSetup paperSize="8" scale="90" orientation="landscape" r:id="rId1"/>
  <headerFooter scaleWithDoc="0">
    <oddFooter>&amp;L&amp;G&amp;R&amp;G</oddFooter>
  </headerFooter>
  <drawing r:id="rId2"/>
  <legacyDrawingHF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6"/>
  </sheetPr>
  <dimension ref="A1:D287"/>
  <sheetViews>
    <sheetView zoomScale="120" zoomScaleNormal="120" workbookViewId="0">
      <pane ySplit="1" topLeftCell="A2" activePane="bottomLeft" state="frozen"/>
      <selection pane="bottomLeft" activeCell="B32" sqref="B32"/>
    </sheetView>
  </sheetViews>
  <sheetFormatPr defaultColWidth="11.42578125" defaultRowHeight="12.75" x14ac:dyDescent="0.2"/>
  <cols>
    <col min="1" max="1" width="24.7109375" customWidth="1"/>
    <col min="2" max="2" width="38.140625" customWidth="1"/>
    <col min="3" max="3" width="17.42578125" customWidth="1"/>
    <col min="4" max="4" width="11.42578125" style="1"/>
  </cols>
  <sheetData>
    <row r="1" spans="1:4" x14ac:dyDescent="0.2">
      <c r="A1" s="27" t="s">
        <v>390</v>
      </c>
      <c r="B1" s="27" t="s">
        <v>109</v>
      </c>
      <c r="C1" s="27" t="s">
        <v>391</v>
      </c>
      <c r="D1" s="28" t="s">
        <v>117</v>
      </c>
    </row>
    <row r="2" spans="1:4" s="3" customFormat="1" x14ac:dyDescent="0.2">
      <c r="C2" s="18"/>
      <c r="D2" s="1"/>
    </row>
    <row r="3" spans="1:4" s="3" customFormat="1" x14ac:dyDescent="0.2">
      <c r="C3" s="18"/>
      <c r="D3" s="1"/>
    </row>
    <row r="4" spans="1:4" s="3" customFormat="1" x14ac:dyDescent="0.2">
      <c r="C4" s="18"/>
      <c r="D4" s="1"/>
    </row>
    <row r="5" spans="1:4" s="3" customFormat="1" x14ac:dyDescent="0.2">
      <c r="C5" s="18"/>
      <c r="D5" s="1"/>
    </row>
    <row r="6" spans="1:4" s="3" customFormat="1" x14ac:dyDescent="0.2">
      <c r="C6" s="18"/>
      <c r="D6" s="1"/>
    </row>
    <row r="7" spans="1:4" s="3" customFormat="1" x14ac:dyDescent="0.2">
      <c r="C7" s="18"/>
      <c r="D7" s="1"/>
    </row>
    <row r="8" spans="1:4" s="3" customFormat="1" x14ac:dyDescent="0.2">
      <c r="C8" s="18"/>
      <c r="D8" s="1"/>
    </row>
    <row r="9" spans="1:4" s="3" customFormat="1" x14ac:dyDescent="0.2">
      <c r="C9" s="18"/>
      <c r="D9" s="1"/>
    </row>
    <row r="10" spans="1:4" s="3" customFormat="1" x14ac:dyDescent="0.2">
      <c r="C10" s="18"/>
      <c r="D10" s="1"/>
    </row>
    <row r="11" spans="1:4" s="3" customFormat="1" x14ac:dyDescent="0.2">
      <c r="C11" s="18"/>
      <c r="D11" s="1"/>
    </row>
    <row r="12" spans="1:4" s="3" customFormat="1" x14ac:dyDescent="0.2">
      <c r="C12" s="18"/>
      <c r="D12" s="1"/>
    </row>
    <row r="13" spans="1:4" s="3" customFormat="1" x14ac:dyDescent="0.2">
      <c r="C13" s="18"/>
      <c r="D13" s="1"/>
    </row>
    <row r="14" spans="1:4" s="3" customFormat="1" x14ac:dyDescent="0.2">
      <c r="C14" s="18"/>
      <c r="D14" s="1"/>
    </row>
    <row r="15" spans="1:4" s="3" customFormat="1" x14ac:dyDescent="0.2">
      <c r="C15" s="18"/>
      <c r="D15" s="1"/>
    </row>
    <row r="16" spans="1:4" s="3" customFormat="1" x14ac:dyDescent="0.2">
      <c r="C16" s="18"/>
      <c r="D16" s="1"/>
    </row>
    <row r="17" spans="3:4" s="3" customFormat="1" x14ac:dyDescent="0.2">
      <c r="C17" s="18"/>
      <c r="D17" s="1"/>
    </row>
    <row r="18" spans="3:4" s="3" customFormat="1" x14ac:dyDescent="0.2">
      <c r="C18" s="18"/>
      <c r="D18" s="1"/>
    </row>
    <row r="19" spans="3:4" s="3" customFormat="1" x14ac:dyDescent="0.2">
      <c r="C19" s="18"/>
      <c r="D19" s="1"/>
    </row>
    <row r="20" spans="3:4" s="3" customFormat="1" x14ac:dyDescent="0.2">
      <c r="C20" s="18"/>
      <c r="D20" s="1"/>
    </row>
    <row r="21" spans="3:4" s="3" customFormat="1" x14ac:dyDescent="0.2">
      <c r="C21" s="18"/>
      <c r="D21" s="1"/>
    </row>
    <row r="22" spans="3:4" x14ac:dyDescent="0.2">
      <c r="C22" s="18"/>
    </row>
    <row r="23" spans="3:4" x14ac:dyDescent="0.2">
      <c r="C23" s="18"/>
    </row>
    <row r="24" spans="3:4" x14ac:dyDescent="0.2">
      <c r="C24" s="18"/>
    </row>
    <row r="25" spans="3:4" s="3" customFormat="1" x14ac:dyDescent="0.2">
      <c r="C25" s="18"/>
      <c r="D25" s="1"/>
    </row>
    <row r="26" spans="3:4" x14ac:dyDescent="0.2">
      <c r="C26" s="18"/>
    </row>
    <row r="27" spans="3:4" x14ac:dyDescent="0.2">
      <c r="C27" s="18"/>
    </row>
    <row r="28" spans="3:4" x14ac:dyDescent="0.2">
      <c r="C28" s="18"/>
    </row>
    <row r="29" spans="3:4" x14ac:dyDescent="0.2">
      <c r="C29" s="18"/>
    </row>
    <row r="30" spans="3:4" x14ac:dyDescent="0.2">
      <c r="C30" s="18"/>
    </row>
    <row r="31" spans="3:4" x14ac:dyDescent="0.2">
      <c r="C31" s="18"/>
    </row>
    <row r="32" spans="3:4" x14ac:dyDescent="0.2">
      <c r="C32" s="18"/>
    </row>
    <row r="33" spans="1:3" x14ac:dyDescent="0.2">
      <c r="C33" s="18"/>
    </row>
    <row r="34" spans="1:3" x14ac:dyDescent="0.2">
      <c r="C34" s="18"/>
    </row>
    <row r="35" spans="1:3" x14ac:dyDescent="0.2">
      <c r="C35" s="18"/>
    </row>
    <row r="36" spans="1:3" x14ac:dyDescent="0.2">
      <c r="A36" s="3"/>
      <c r="B36" s="3"/>
      <c r="C36" s="18"/>
    </row>
    <row r="37" spans="1:3" x14ac:dyDescent="0.2">
      <c r="A37" s="3"/>
      <c r="B37" s="3"/>
      <c r="C37" s="18"/>
    </row>
    <row r="38" spans="1:3" x14ac:dyDescent="0.2">
      <c r="A38" s="3"/>
      <c r="B38" s="3"/>
      <c r="C38" s="18"/>
    </row>
    <row r="39" spans="1:3" x14ac:dyDescent="0.2">
      <c r="A39" s="3"/>
      <c r="B39" s="3"/>
      <c r="C39" s="18"/>
    </row>
    <row r="40" spans="1:3" x14ac:dyDescent="0.2">
      <c r="A40" s="3"/>
      <c r="B40" s="3"/>
      <c r="C40" s="18"/>
    </row>
    <row r="41" spans="1:3" x14ac:dyDescent="0.2">
      <c r="A41" s="3"/>
      <c r="B41" s="3"/>
      <c r="C41" s="18"/>
    </row>
    <row r="42" spans="1:3" x14ac:dyDescent="0.2">
      <c r="A42" s="3"/>
      <c r="B42" s="3"/>
      <c r="C42" s="18"/>
    </row>
    <row r="43" spans="1:3" x14ac:dyDescent="0.2">
      <c r="A43" s="3"/>
      <c r="B43" s="3"/>
      <c r="C43" s="18"/>
    </row>
    <row r="44" spans="1:3" x14ac:dyDescent="0.2">
      <c r="C44" s="18"/>
    </row>
    <row r="45" spans="1:3" x14ac:dyDescent="0.2">
      <c r="C45" s="18"/>
    </row>
    <row r="46" spans="1:3" x14ac:dyDescent="0.2">
      <c r="C46" s="18"/>
    </row>
    <row r="47" spans="1:3" x14ac:dyDescent="0.2">
      <c r="C47" s="18"/>
    </row>
    <row r="48" spans="1:3" x14ac:dyDescent="0.2">
      <c r="C48" s="18"/>
    </row>
    <row r="49" spans="3:3" x14ac:dyDescent="0.2">
      <c r="C49" s="18"/>
    </row>
    <row r="50" spans="3:3" x14ac:dyDescent="0.2">
      <c r="C50" s="18"/>
    </row>
    <row r="51" spans="3:3" x14ac:dyDescent="0.2">
      <c r="C51" s="18"/>
    </row>
    <row r="52" spans="3:3" x14ac:dyDescent="0.2">
      <c r="C52" s="18"/>
    </row>
    <row r="53" spans="3:3" x14ac:dyDescent="0.2">
      <c r="C53" s="18"/>
    </row>
    <row r="54" spans="3:3" x14ac:dyDescent="0.2">
      <c r="C54" s="18"/>
    </row>
    <row r="55" spans="3:3" x14ac:dyDescent="0.2">
      <c r="C55" s="18"/>
    </row>
    <row r="56" spans="3:3" x14ac:dyDescent="0.2">
      <c r="C56" s="18"/>
    </row>
    <row r="57" spans="3:3" x14ac:dyDescent="0.2">
      <c r="C57" s="18"/>
    </row>
    <row r="58" spans="3:3" x14ac:dyDescent="0.2">
      <c r="C58" s="18"/>
    </row>
    <row r="59" spans="3:3" x14ac:dyDescent="0.2">
      <c r="C59" s="18"/>
    </row>
    <row r="60" spans="3:3" x14ac:dyDescent="0.2">
      <c r="C60" s="18"/>
    </row>
    <row r="61" spans="3:3" x14ac:dyDescent="0.2">
      <c r="C61" s="18"/>
    </row>
    <row r="62" spans="3:3" x14ac:dyDescent="0.2">
      <c r="C62" s="18"/>
    </row>
    <row r="63" spans="3:3" x14ac:dyDescent="0.2">
      <c r="C63" s="18"/>
    </row>
    <row r="64" spans="3:3" x14ac:dyDescent="0.2">
      <c r="C64" s="18"/>
    </row>
    <row r="65" spans="1:3" x14ac:dyDescent="0.2">
      <c r="A65" s="3"/>
      <c r="C65" s="18"/>
    </row>
    <row r="66" spans="1:3" x14ac:dyDescent="0.2">
      <c r="A66" s="3"/>
      <c r="B66" s="3"/>
      <c r="C66" s="18"/>
    </row>
    <row r="67" spans="1:3" x14ac:dyDescent="0.2">
      <c r="A67" s="3"/>
      <c r="B67" s="3"/>
      <c r="C67" s="18"/>
    </row>
    <row r="68" spans="1:3" x14ac:dyDescent="0.2">
      <c r="A68" s="3"/>
      <c r="B68" s="3"/>
      <c r="C68" s="18"/>
    </row>
    <row r="69" spans="1:3" x14ac:dyDescent="0.2">
      <c r="A69" s="3"/>
      <c r="B69" s="3"/>
      <c r="C69" s="18"/>
    </row>
    <row r="70" spans="1:3" x14ac:dyDescent="0.2">
      <c r="A70" s="3"/>
      <c r="B70" s="3"/>
      <c r="C70" s="18"/>
    </row>
    <row r="71" spans="1:3" x14ac:dyDescent="0.2">
      <c r="A71" s="3"/>
      <c r="B71" s="3"/>
      <c r="C71" s="18"/>
    </row>
    <row r="72" spans="1:3" x14ac:dyDescent="0.2">
      <c r="A72" s="3"/>
      <c r="B72" s="3"/>
      <c r="C72" s="18"/>
    </row>
    <row r="73" spans="1:3" x14ac:dyDescent="0.2">
      <c r="A73" s="3"/>
      <c r="B73" s="3"/>
      <c r="C73" s="18"/>
    </row>
    <row r="74" spans="1:3" x14ac:dyDescent="0.2">
      <c r="A74" s="3"/>
      <c r="B74" s="3"/>
      <c r="C74" s="18"/>
    </row>
    <row r="75" spans="1:3" x14ac:dyDescent="0.2">
      <c r="A75" s="3"/>
      <c r="B75" s="3"/>
      <c r="C75" s="18"/>
    </row>
    <row r="76" spans="1:3" x14ac:dyDescent="0.2">
      <c r="A76" s="3"/>
      <c r="B76" s="3"/>
      <c r="C76" s="18"/>
    </row>
    <row r="77" spans="1:3" x14ac:dyDescent="0.2">
      <c r="C77" s="18"/>
    </row>
    <row r="78" spans="1:3" x14ac:dyDescent="0.2">
      <c r="C78" s="18"/>
    </row>
    <row r="79" spans="1:3" x14ac:dyDescent="0.2">
      <c r="C79" s="18"/>
    </row>
    <row r="80" spans="1:3" x14ac:dyDescent="0.2">
      <c r="C80" s="18"/>
    </row>
    <row r="81" spans="3:3" x14ac:dyDescent="0.2">
      <c r="C81" s="18"/>
    </row>
    <row r="82" spans="3:3" x14ac:dyDescent="0.2">
      <c r="C82" s="18"/>
    </row>
    <row r="83" spans="3:3" x14ac:dyDescent="0.2">
      <c r="C83" s="18"/>
    </row>
    <row r="84" spans="3:3" x14ac:dyDescent="0.2">
      <c r="C84" s="18"/>
    </row>
    <row r="85" spans="3:3" x14ac:dyDescent="0.2">
      <c r="C85" s="18"/>
    </row>
    <row r="86" spans="3:3" x14ac:dyDescent="0.2">
      <c r="C86" s="18"/>
    </row>
    <row r="87" spans="3:3" x14ac:dyDescent="0.2">
      <c r="C87" s="2"/>
    </row>
    <row r="88" spans="3:3" x14ac:dyDescent="0.2">
      <c r="C88" s="2"/>
    </row>
    <row r="89" spans="3:3" x14ac:dyDescent="0.2">
      <c r="C89" s="2"/>
    </row>
    <row r="91" spans="3:3" x14ac:dyDescent="0.2">
      <c r="C91" s="2"/>
    </row>
    <row r="92" spans="3:3" x14ac:dyDescent="0.2">
      <c r="C92" s="2"/>
    </row>
    <row r="93" spans="3:3" x14ac:dyDescent="0.2">
      <c r="C93" s="2"/>
    </row>
    <row r="98" spans="3:3" x14ac:dyDescent="0.2">
      <c r="C98" s="2"/>
    </row>
    <row r="99" spans="3:3" x14ac:dyDescent="0.2">
      <c r="C99" s="2"/>
    </row>
    <row r="100" spans="3:3" x14ac:dyDescent="0.2">
      <c r="C100" s="2"/>
    </row>
    <row r="106" spans="3:3" x14ac:dyDescent="0.2">
      <c r="C106" s="2"/>
    </row>
    <row r="107" spans="3:3" x14ac:dyDescent="0.2">
      <c r="C107" s="2"/>
    </row>
    <row r="108" spans="3:3" x14ac:dyDescent="0.2">
      <c r="C108" s="2"/>
    </row>
    <row r="109" spans="3:3" x14ac:dyDescent="0.2">
      <c r="C109" s="2"/>
    </row>
    <row r="110" spans="3:3" x14ac:dyDescent="0.2">
      <c r="C110" s="2"/>
    </row>
    <row r="111" spans="3:3" x14ac:dyDescent="0.2">
      <c r="C111" s="2"/>
    </row>
    <row r="112" spans="3:3" x14ac:dyDescent="0.2">
      <c r="C112" s="2"/>
    </row>
    <row r="113" spans="3:3" x14ac:dyDescent="0.2">
      <c r="C113" s="2"/>
    </row>
    <row r="114" spans="3:3" x14ac:dyDescent="0.2">
      <c r="C114" s="2"/>
    </row>
    <row r="115" spans="3:3" x14ac:dyDescent="0.2">
      <c r="C115" s="2"/>
    </row>
    <row r="116" spans="3:3" x14ac:dyDescent="0.2">
      <c r="C116" s="2"/>
    </row>
    <row r="117" spans="3:3" x14ac:dyDescent="0.2">
      <c r="C117" s="2"/>
    </row>
    <row r="118" spans="3:3" x14ac:dyDescent="0.2">
      <c r="C118" s="2"/>
    </row>
    <row r="119" spans="3:3" x14ac:dyDescent="0.2">
      <c r="C119" s="2"/>
    </row>
    <row r="124" spans="3:3" x14ac:dyDescent="0.2">
      <c r="C124" s="2"/>
    </row>
    <row r="125" spans="3:3" x14ac:dyDescent="0.2">
      <c r="C125" s="2"/>
    </row>
    <row r="126" spans="3:3" x14ac:dyDescent="0.2">
      <c r="C126" s="2"/>
    </row>
    <row r="127" spans="3:3" x14ac:dyDescent="0.2">
      <c r="C127" s="2"/>
    </row>
    <row r="128" spans="3: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  <row r="146" spans="3:3" x14ac:dyDescent="0.2">
      <c r="C146" s="2"/>
    </row>
    <row r="147" spans="3:3" x14ac:dyDescent="0.2">
      <c r="C147" s="2"/>
    </row>
    <row r="148" spans="3:3" x14ac:dyDescent="0.2">
      <c r="C148" s="2"/>
    </row>
    <row r="149" spans="3:3" x14ac:dyDescent="0.2">
      <c r="C149" s="2"/>
    </row>
    <row r="150" spans="3:3" x14ac:dyDescent="0.2">
      <c r="C150" s="2"/>
    </row>
    <row r="151" spans="3:3" x14ac:dyDescent="0.2">
      <c r="C151" s="2"/>
    </row>
    <row r="152" spans="3:3" x14ac:dyDescent="0.2">
      <c r="C152" s="2"/>
    </row>
    <row r="153" spans="3:3" x14ac:dyDescent="0.2">
      <c r="C153" s="2"/>
    </row>
    <row r="154" spans="3:3" x14ac:dyDescent="0.2">
      <c r="C154" s="2"/>
    </row>
    <row r="155" spans="3:3" x14ac:dyDescent="0.2">
      <c r="C155" s="2"/>
    </row>
    <row r="156" spans="3:3" x14ac:dyDescent="0.2">
      <c r="C156" s="2"/>
    </row>
    <row r="157" spans="3:3" x14ac:dyDescent="0.2">
      <c r="C157" s="2"/>
    </row>
    <row r="158" spans="3:3" x14ac:dyDescent="0.2">
      <c r="C158" s="2"/>
    </row>
    <row r="159" spans="3:3" x14ac:dyDescent="0.2">
      <c r="C159" s="2"/>
    </row>
    <row r="160" spans="3:3" x14ac:dyDescent="0.2">
      <c r="C160" s="2"/>
    </row>
    <row r="161" spans="3:3" x14ac:dyDescent="0.2">
      <c r="C161" s="2"/>
    </row>
    <row r="162" spans="3:3" x14ac:dyDescent="0.2">
      <c r="C162" s="2"/>
    </row>
    <row r="163" spans="3:3" x14ac:dyDescent="0.2">
      <c r="C163" s="2"/>
    </row>
    <row r="164" spans="3:3" x14ac:dyDescent="0.2">
      <c r="C164" s="2"/>
    </row>
    <row r="165" spans="3:3" x14ac:dyDescent="0.2">
      <c r="C165" s="2"/>
    </row>
    <row r="166" spans="3:3" x14ac:dyDescent="0.2">
      <c r="C166" s="2"/>
    </row>
    <row r="167" spans="3:3" x14ac:dyDescent="0.2">
      <c r="C167" s="2"/>
    </row>
    <row r="168" spans="3:3" x14ac:dyDescent="0.2">
      <c r="C168" s="2"/>
    </row>
    <row r="169" spans="3:3" x14ac:dyDescent="0.2">
      <c r="C169" s="2"/>
    </row>
    <row r="170" spans="3:3" x14ac:dyDescent="0.2">
      <c r="C170" s="2"/>
    </row>
    <row r="171" spans="3:3" x14ac:dyDescent="0.2">
      <c r="C171" s="2"/>
    </row>
    <row r="172" spans="3:3" x14ac:dyDescent="0.2">
      <c r="C172" s="2"/>
    </row>
    <row r="173" spans="3:3" x14ac:dyDescent="0.2">
      <c r="C173" s="2"/>
    </row>
    <row r="174" spans="3:3" x14ac:dyDescent="0.2">
      <c r="C174" s="2"/>
    </row>
    <row r="175" spans="3:3" x14ac:dyDescent="0.2">
      <c r="C175" s="2"/>
    </row>
    <row r="176" spans="3:3" x14ac:dyDescent="0.2">
      <c r="C176" s="2"/>
    </row>
    <row r="177" spans="3:3" x14ac:dyDescent="0.2">
      <c r="C177" s="2"/>
    </row>
    <row r="178" spans="3:3" x14ac:dyDescent="0.2">
      <c r="C178" s="2"/>
    </row>
    <row r="179" spans="3:3" x14ac:dyDescent="0.2">
      <c r="C179" s="2"/>
    </row>
    <row r="180" spans="3:3" x14ac:dyDescent="0.2">
      <c r="C180" s="2"/>
    </row>
    <row r="181" spans="3:3" x14ac:dyDescent="0.2">
      <c r="C181" s="2"/>
    </row>
    <row r="182" spans="3:3" x14ac:dyDescent="0.2">
      <c r="C182" s="2"/>
    </row>
    <row r="183" spans="3:3" x14ac:dyDescent="0.2">
      <c r="C183" s="2"/>
    </row>
    <row r="184" spans="3:3" x14ac:dyDescent="0.2">
      <c r="C184" s="2"/>
    </row>
    <row r="185" spans="3:3" x14ac:dyDescent="0.2">
      <c r="C185" s="2"/>
    </row>
    <row r="186" spans="3:3" x14ac:dyDescent="0.2">
      <c r="C186" s="2"/>
    </row>
    <row r="187" spans="3:3" x14ac:dyDescent="0.2">
      <c r="C187" s="2"/>
    </row>
    <row r="188" spans="3:3" x14ac:dyDescent="0.2">
      <c r="C188" s="2"/>
    </row>
    <row r="189" spans="3:3" x14ac:dyDescent="0.2">
      <c r="C189" s="2"/>
    </row>
    <row r="190" spans="3:3" x14ac:dyDescent="0.2">
      <c r="C190" s="2"/>
    </row>
    <row r="191" spans="3:3" x14ac:dyDescent="0.2">
      <c r="C191" s="2"/>
    </row>
    <row r="192" spans="3:3" x14ac:dyDescent="0.2">
      <c r="C192" s="2"/>
    </row>
    <row r="212" spans="3:3" x14ac:dyDescent="0.2">
      <c r="C212" s="4"/>
    </row>
    <row r="213" spans="3:3" x14ac:dyDescent="0.2">
      <c r="C213" s="4"/>
    </row>
    <row r="214" spans="3:3" x14ac:dyDescent="0.2">
      <c r="C214" s="4"/>
    </row>
    <row r="215" spans="3:3" x14ac:dyDescent="0.2">
      <c r="C215" s="4"/>
    </row>
    <row r="216" spans="3:3" x14ac:dyDescent="0.2">
      <c r="C216" s="4"/>
    </row>
    <row r="217" spans="3:3" x14ac:dyDescent="0.2">
      <c r="C217" s="4"/>
    </row>
    <row r="218" spans="3:3" x14ac:dyDescent="0.2">
      <c r="C218" s="4"/>
    </row>
    <row r="219" spans="3:3" x14ac:dyDescent="0.2">
      <c r="C219" s="4"/>
    </row>
    <row r="220" spans="3:3" x14ac:dyDescent="0.2">
      <c r="C220" s="4"/>
    </row>
    <row r="221" spans="3:3" x14ac:dyDescent="0.2">
      <c r="C221" s="4"/>
    </row>
    <row r="222" spans="3:3" x14ac:dyDescent="0.2">
      <c r="C222" s="4"/>
    </row>
    <row r="223" spans="3:3" x14ac:dyDescent="0.2">
      <c r="C223" s="4"/>
    </row>
    <row r="224" spans="3:3" x14ac:dyDescent="0.2">
      <c r="C224" s="4"/>
    </row>
    <row r="225" spans="3:3" x14ac:dyDescent="0.2">
      <c r="C225" s="4"/>
    </row>
    <row r="226" spans="3:3" x14ac:dyDescent="0.2">
      <c r="C226" s="4"/>
    </row>
    <row r="227" spans="3:3" x14ac:dyDescent="0.2">
      <c r="C227" s="4"/>
    </row>
    <row r="228" spans="3:3" x14ac:dyDescent="0.2">
      <c r="C228" s="4"/>
    </row>
    <row r="229" spans="3:3" x14ac:dyDescent="0.2">
      <c r="C229" s="4"/>
    </row>
    <row r="230" spans="3:3" x14ac:dyDescent="0.2">
      <c r="C230" s="4"/>
    </row>
    <row r="231" spans="3:3" x14ac:dyDescent="0.2">
      <c r="C231" s="4"/>
    </row>
    <row r="232" spans="3:3" x14ac:dyDescent="0.2">
      <c r="C232" s="4"/>
    </row>
    <row r="233" spans="3:3" x14ac:dyDescent="0.2">
      <c r="C233" s="4"/>
    </row>
    <row r="234" spans="3:3" x14ac:dyDescent="0.2">
      <c r="C234" s="4"/>
    </row>
    <row r="235" spans="3:3" x14ac:dyDescent="0.2">
      <c r="C235" s="4"/>
    </row>
    <row r="236" spans="3:3" x14ac:dyDescent="0.2">
      <c r="C236" s="4"/>
    </row>
    <row r="237" spans="3:3" x14ac:dyDescent="0.2">
      <c r="C237" s="4"/>
    </row>
    <row r="238" spans="3:3" x14ac:dyDescent="0.2">
      <c r="C238" s="4"/>
    </row>
    <row r="239" spans="3:3" x14ac:dyDescent="0.2">
      <c r="C239" s="4"/>
    </row>
    <row r="240" spans="3:3" x14ac:dyDescent="0.2">
      <c r="C240" s="4"/>
    </row>
    <row r="241" spans="3:3" x14ac:dyDescent="0.2">
      <c r="C241" s="4"/>
    </row>
    <row r="242" spans="3:3" x14ac:dyDescent="0.2">
      <c r="C242" s="4"/>
    </row>
    <row r="243" spans="3:3" x14ac:dyDescent="0.2">
      <c r="C243" s="4"/>
    </row>
    <row r="244" spans="3:3" x14ac:dyDescent="0.2">
      <c r="C244" s="4"/>
    </row>
    <row r="245" spans="3:3" x14ac:dyDescent="0.2">
      <c r="C245" s="4"/>
    </row>
    <row r="246" spans="3:3" x14ac:dyDescent="0.2">
      <c r="C246" s="4"/>
    </row>
    <row r="247" spans="3:3" x14ac:dyDescent="0.2">
      <c r="C247" s="4"/>
    </row>
    <row r="248" spans="3:3" x14ac:dyDescent="0.2">
      <c r="C248" s="4"/>
    </row>
    <row r="249" spans="3:3" x14ac:dyDescent="0.2">
      <c r="C249" s="4"/>
    </row>
    <row r="250" spans="3:3" x14ac:dyDescent="0.2">
      <c r="C250" s="4"/>
    </row>
    <row r="251" spans="3:3" x14ac:dyDescent="0.2">
      <c r="C251" s="4"/>
    </row>
    <row r="252" spans="3:3" x14ac:dyDescent="0.2">
      <c r="C252" s="4"/>
    </row>
    <row r="253" spans="3:3" x14ac:dyDescent="0.2">
      <c r="C253" s="4"/>
    </row>
    <row r="254" spans="3:3" x14ac:dyDescent="0.2">
      <c r="C254" s="4"/>
    </row>
    <row r="255" spans="3:3" x14ac:dyDescent="0.2">
      <c r="C255" s="4"/>
    </row>
    <row r="256" spans="3:3" x14ac:dyDescent="0.2">
      <c r="C256" s="4"/>
    </row>
    <row r="257" spans="3:3" x14ac:dyDescent="0.2">
      <c r="C257" s="4"/>
    </row>
    <row r="258" spans="3:3" x14ac:dyDescent="0.2">
      <c r="C258" s="4"/>
    </row>
    <row r="259" spans="3:3" x14ac:dyDescent="0.2">
      <c r="C259" s="4"/>
    </row>
    <row r="260" spans="3:3" x14ac:dyDescent="0.2">
      <c r="C260" s="4"/>
    </row>
    <row r="261" spans="3:3" x14ac:dyDescent="0.2">
      <c r="C261" s="4"/>
    </row>
    <row r="262" spans="3:3" x14ac:dyDescent="0.2">
      <c r="C262" s="4"/>
    </row>
    <row r="263" spans="3:3" x14ac:dyDescent="0.2">
      <c r="C263" s="4"/>
    </row>
    <row r="264" spans="3:3" x14ac:dyDescent="0.2">
      <c r="C264" s="4"/>
    </row>
    <row r="265" spans="3:3" x14ac:dyDescent="0.2">
      <c r="C265" s="4"/>
    </row>
    <row r="266" spans="3:3" x14ac:dyDescent="0.2">
      <c r="C266" s="4"/>
    </row>
    <row r="267" spans="3:3" x14ac:dyDescent="0.2">
      <c r="C267" s="4"/>
    </row>
    <row r="268" spans="3:3" x14ac:dyDescent="0.2">
      <c r="C268" s="4"/>
    </row>
    <row r="269" spans="3:3" x14ac:dyDescent="0.2">
      <c r="C269" s="4"/>
    </row>
    <row r="270" spans="3:3" x14ac:dyDescent="0.2">
      <c r="C270" s="4"/>
    </row>
    <row r="271" spans="3:3" x14ac:dyDescent="0.2">
      <c r="C271" s="4"/>
    </row>
    <row r="272" spans="3:3" x14ac:dyDescent="0.2">
      <c r="C272" s="4"/>
    </row>
    <row r="273" spans="3:3" x14ac:dyDescent="0.2">
      <c r="C273" s="4"/>
    </row>
    <row r="274" spans="3:3" x14ac:dyDescent="0.2">
      <c r="C274" s="4"/>
    </row>
    <row r="275" spans="3:3" x14ac:dyDescent="0.2">
      <c r="C275" s="4"/>
    </row>
    <row r="276" spans="3:3" x14ac:dyDescent="0.2">
      <c r="C276" s="4"/>
    </row>
    <row r="277" spans="3:3" x14ac:dyDescent="0.2">
      <c r="C277" s="4"/>
    </row>
    <row r="278" spans="3:3" x14ac:dyDescent="0.2">
      <c r="C278" s="4"/>
    </row>
    <row r="279" spans="3:3" x14ac:dyDescent="0.2">
      <c r="C279" s="4"/>
    </row>
    <row r="280" spans="3:3" x14ac:dyDescent="0.2">
      <c r="C280" s="4"/>
    </row>
    <row r="281" spans="3:3" x14ac:dyDescent="0.2">
      <c r="C281" s="4"/>
    </row>
    <row r="282" spans="3:3" x14ac:dyDescent="0.2">
      <c r="C282" s="4"/>
    </row>
    <row r="283" spans="3:3" x14ac:dyDescent="0.2">
      <c r="C283" s="4"/>
    </row>
    <row r="284" spans="3:3" x14ac:dyDescent="0.2">
      <c r="C284" s="4"/>
    </row>
    <row r="285" spans="3:3" x14ac:dyDescent="0.2">
      <c r="C285" s="4"/>
    </row>
    <row r="286" spans="3:3" x14ac:dyDescent="0.2">
      <c r="C286" s="4"/>
    </row>
    <row r="287" spans="3:3" x14ac:dyDescent="0.2">
      <c r="C287" s="4"/>
    </row>
  </sheetData>
  <sortState ref="A2:D313">
    <sortCondition ref="C2:C313"/>
  </sortState>
  <pageMargins left="0.7" right="0.7" top="0.78740157499999996" bottom="0.78740157499999996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E134"/>
  <sheetViews>
    <sheetView zoomScale="120" zoomScaleNormal="120" workbookViewId="0">
      <selection activeCell="F38" sqref="F38"/>
    </sheetView>
  </sheetViews>
  <sheetFormatPr defaultRowHeight="12.75" x14ac:dyDescent="0.2"/>
  <cols>
    <col min="1" max="1" width="36.5703125" bestFit="1" customWidth="1"/>
    <col min="2" max="2" width="15.5703125" bestFit="1" customWidth="1"/>
    <col min="3" max="4" width="14.42578125" bestFit="1" customWidth="1"/>
    <col min="5" max="5" width="16.7109375" bestFit="1" customWidth="1"/>
  </cols>
  <sheetData>
    <row r="1" spans="1:5" x14ac:dyDescent="0.2">
      <c r="A1" s="27" t="s">
        <v>397</v>
      </c>
      <c r="B1" s="27" t="s">
        <v>2</v>
      </c>
      <c r="C1" s="27" t="s">
        <v>398</v>
      </c>
      <c r="D1" s="27" t="s">
        <v>391</v>
      </c>
      <c r="E1" s="27" t="s">
        <v>407</v>
      </c>
    </row>
    <row r="2" spans="1:5" x14ac:dyDescent="0.2">
      <c r="A2" t="s">
        <v>357</v>
      </c>
      <c r="B2" t="s">
        <v>153</v>
      </c>
      <c r="C2" t="s">
        <v>580</v>
      </c>
      <c r="D2" s="18">
        <v>43020.520219907405</v>
      </c>
      <c r="E2" t="s">
        <v>414</v>
      </c>
    </row>
    <row r="3" spans="1:5" x14ac:dyDescent="0.2">
      <c r="A3" t="s">
        <v>357</v>
      </c>
      <c r="B3" t="s">
        <v>153</v>
      </c>
      <c r="C3" t="s">
        <v>580</v>
      </c>
      <c r="D3" s="18">
        <v>43020.520312499997</v>
      </c>
      <c r="E3" t="s">
        <v>414</v>
      </c>
    </row>
    <row r="4" spans="1:5" x14ac:dyDescent="0.2">
      <c r="D4" s="18"/>
    </row>
    <row r="5" spans="1:5" x14ac:dyDescent="0.2">
      <c r="D5" s="18"/>
    </row>
    <row r="6" spans="1:5" x14ac:dyDescent="0.2">
      <c r="D6" s="18"/>
    </row>
    <row r="7" spans="1:5" x14ac:dyDescent="0.2">
      <c r="D7" s="18"/>
    </row>
    <row r="8" spans="1:5" x14ac:dyDescent="0.2">
      <c r="D8" s="18"/>
    </row>
    <row r="9" spans="1:5" x14ac:dyDescent="0.2">
      <c r="D9" s="18"/>
    </row>
    <row r="10" spans="1:5" x14ac:dyDescent="0.2">
      <c r="D10" s="18"/>
    </row>
    <row r="11" spans="1:5" x14ac:dyDescent="0.2">
      <c r="D11" s="18"/>
    </row>
    <row r="12" spans="1:5" x14ac:dyDescent="0.2">
      <c r="D12" s="18"/>
    </row>
    <row r="13" spans="1:5" x14ac:dyDescent="0.2">
      <c r="D13" s="18"/>
    </row>
    <row r="14" spans="1:5" x14ac:dyDescent="0.2">
      <c r="D14" s="18"/>
    </row>
    <row r="15" spans="1:5" x14ac:dyDescent="0.2">
      <c r="D15" s="18"/>
    </row>
    <row r="16" spans="1:5" x14ac:dyDescent="0.2">
      <c r="D16" s="18"/>
    </row>
    <row r="17" spans="4:4" x14ac:dyDescent="0.2">
      <c r="D17" s="18"/>
    </row>
    <row r="18" spans="4:4" x14ac:dyDescent="0.2">
      <c r="D18" s="18"/>
    </row>
    <row r="19" spans="4:4" x14ac:dyDescent="0.2">
      <c r="D19" s="18"/>
    </row>
    <row r="20" spans="4:4" x14ac:dyDescent="0.2">
      <c r="D20" s="18"/>
    </row>
    <row r="21" spans="4:4" x14ac:dyDescent="0.2">
      <c r="D21" s="18"/>
    </row>
    <row r="22" spans="4:4" x14ac:dyDescent="0.2">
      <c r="D22" s="18"/>
    </row>
    <row r="23" spans="4:4" x14ac:dyDescent="0.2">
      <c r="D23" s="18"/>
    </row>
    <row r="24" spans="4:4" x14ac:dyDescent="0.2">
      <c r="D24" s="18"/>
    </row>
    <row r="25" spans="4:4" x14ac:dyDescent="0.2">
      <c r="D25" s="18"/>
    </row>
    <row r="26" spans="4:4" x14ac:dyDescent="0.2">
      <c r="D26" s="18"/>
    </row>
    <row r="27" spans="4:4" x14ac:dyDescent="0.2">
      <c r="D27" s="18"/>
    </row>
    <row r="28" spans="4:4" x14ac:dyDescent="0.2">
      <c r="D28" s="18"/>
    </row>
    <row r="29" spans="4:4" x14ac:dyDescent="0.2">
      <c r="D29" s="18"/>
    </row>
    <row r="30" spans="4:4" x14ac:dyDescent="0.2">
      <c r="D30" s="18"/>
    </row>
    <row r="31" spans="4:4" x14ac:dyDescent="0.2">
      <c r="D31" s="18"/>
    </row>
    <row r="32" spans="4:4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5" x14ac:dyDescent="0.2">
      <c r="D49" s="18"/>
    </row>
    <row r="50" spans="4:5" x14ac:dyDescent="0.2">
      <c r="D50" s="18"/>
    </row>
    <row r="51" spans="4:5" x14ac:dyDescent="0.2">
      <c r="D51" s="18"/>
    </row>
    <row r="52" spans="4:5" x14ac:dyDescent="0.2">
      <c r="D52" s="18"/>
    </row>
    <row r="53" spans="4:5" x14ac:dyDescent="0.2">
      <c r="D53" s="18"/>
    </row>
    <row r="54" spans="4:5" x14ac:dyDescent="0.2">
      <c r="D54" s="18"/>
    </row>
    <row r="55" spans="4:5" x14ac:dyDescent="0.2">
      <c r="D55" s="18"/>
    </row>
    <row r="56" spans="4:5" x14ac:dyDescent="0.2">
      <c r="D56" s="18"/>
      <c r="E56" s="55"/>
    </row>
    <row r="57" spans="4:5" x14ac:dyDescent="0.2">
      <c r="D57" s="18"/>
      <c r="E57" s="55"/>
    </row>
    <row r="58" spans="4:5" x14ac:dyDescent="0.2">
      <c r="D58" s="18"/>
      <c r="E58" s="55"/>
    </row>
    <row r="59" spans="4:5" x14ac:dyDescent="0.2">
      <c r="D59" s="18"/>
      <c r="E59" s="55"/>
    </row>
    <row r="60" spans="4:5" x14ac:dyDescent="0.2">
      <c r="E60" s="55"/>
    </row>
    <row r="61" spans="4:5" x14ac:dyDescent="0.2">
      <c r="E61" s="55"/>
    </row>
    <row r="62" spans="4:5" x14ac:dyDescent="0.2">
      <c r="D62" s="18"/>
      <c r="E62" s="55"/>
    </row>
    <row r="63" spans="4:5" x14ac:dyDescent="0.2">
      <c r="D63" s="18"/>
      <c r="E63" s="55"/>
    </row>
    <row r="64" spans="4:5" x14ac:dyDescent="0.2">
      <c r="D64" s="18"/>
      <c r="E64" s="55"/>
    </row>
    <row r="65" spans="4:5" x14ac:dyDescent="0.2">
      <c r="D65" s="18"/>
      <c r="E65" s="55"/>
    </row>
    <row r="66" spans="4:5" x14ac:dyDescent="0.2">
      <c r="D66" s="18"/>
      <c r="E66" s="55"/>
    </row>
    <row r="67" spans="4:5" x14ac:dyDescent="0.2">
      <c r="D67" s="18"/>
      <c r="E67" s="55"/>
    </row>
    <row r="68" spans="4:5" x14ac:dyDescent="0.2">
      <c r="D68" s="18"/>
      <c r="E68" s="55"/>
    </row>
    <row r="69" spans="4:5" x14ac:dyDescent="0.2">
      <c r="D69" s="18"/>
      <c r="E69" s="55"/>
    </row>
    <row r="70" spans="4:5" x14ac:dyDescent="0.2">
      <c r="D70" s="18"/>
      <c r="E70" s="55"/>
    </row>
    <row r="71" spans="4:5" x14ac:dyDescent="0.2">
      <c r="D71" s="18"/>
      <c r="E71" s="55"/>
    </row>
    <row r="72" spans="4:5" x14ac:dyDescent="0.2">
      <c r="D72" s="18"/>
      <c r="E72" s="55"/>
    </row>
    <row r="73" spans="4:5" x14ac:dyDescent="0.2">
      <c r="D73" s="18"/>
      <c r="E73" s="55"/>
    </row>
    <row r="74" spans="4:5" x14ac:dyDescent="0.2">
      <c r="D74" s="18"/>
      <c r="E74" s="55"/>
    </row>
    <row r="75" spans="4:5" x14ac:dyDescent="0.2">
      <c r="D75" s="18"/>
      <c r="E75" s="55"/>
    </row>
    <row r="76" spans="4:5" x14ac:dyDescent="0.2">
      <c r="D76" s="18"/>
      <c r="E76" s="55"/>
    </row>
    <row r="77" spans="4:5" x14ac:dyDescent="0.2">
      <c r="D77" s="18"/>
    </row>
    <row r="78" spans="4:5" x14ac:dyDescent="0.2">
      <c r="D78" s="18"/>
    </row>
    <row r="79" spans="4:5" x14ac:dyDescent="0.2">
      <c r="D79" s="18"/>
    </row>
    <row r="80" spans="4:5" x14ac:dyDescent="0.2">
      <c r="D80" s="18"/>
    </row>
    <row r="81" spans="4:5" x14ac:dyDescent="0.2">
      <c r="D81" s="18"/>
    </row>
    <row r="82" spans="4:5" x14ac:dyDescent="0.2">
      <c r="D82" s="18"/>
    </row>
    <row r="88" spans="4:5" x14ac:dyDescent="0.2">
      <c r="D88" s="18"/>
    </row>
    <row r="89" spans="4:5" x14ac:dyDescent="0.2">
      <c r="E89" s="18"/>
    </row>
    <row r="90" spans="4:5" x14ac:dyDescent="0.2">
      <c r="E90" s="18"/>
    </row>
    <row r="91" spans="4:5" x14ac:dyDescent="0.2">
      <c r="E91" s="18"/>
    </row>
    <row r="92" spans="4:5" x14ac:dyDescent="0.2">
      <c r="E92" s="18"/>
    </row>
    <row r="93" spans="4:5" x14ac:dyDescent="0.2">
      <c r="E93" s="18"/>
    </row>
    <row r="94" spans="4:5" x14ac:dyDescent="0.2">
      <c r="D94" s="18"/>
    </row>
    <row r="95" spans="4:5" x14ac:dyDescent="0.2">
      <c r="D95" s="18"/>
    </row>
    <row r="96" spans="4:5" x14ac:dyDescent="0.2">
      <c r="D96" s="18"/>
    </row>
    <row r="97" spans="4:4" x14ac:dyDescent="0.2">
      <c r="D97" s="18"/>
    </row>
    <row r="98" spans="4:4" x14ac:dyDescent="0.2">
      <c r="D98" s="18"/>
    </row>
    <row r="99" spans="4:4" x14ac:dyDescent="0.2">
      <c r="D99" s="18"/>
    </row>
    <row r="100" spans="4:4" x14ac:dyDescent="0.2">
      <c r="D100" s="18"/>
    </row>
    <row r="101" spans="4:4" x14ac:dyDescent="0.2">
      <c r="D101" s="18"/>
    </row>
    <row r="102" spans="4:4" x14ac:dyDescent="0.2">
      <c r="D102" s="18"/>
    </row>
    <row r="103" spans="4:4" x14ac:dyDescent="0.2">
      <c r="D103" s="18"/>
    </row>
    <row r="104" spans="4:4" x14ac:dyDescent="0.2">
      <c r="D104" s="18"/>
    </row>
    <row r="105" spans="4:4" x14ac:dyDescent="0.2">
      <c r="D105" s="18"/>
    </row>
    <row r="106" spans="4:4" x14ac:dyDescent="0.2">
      <c r="D106" s="18"/>
    </row>
    <row r="107" spans="4:4" x14ac:dyDescent="0.2">
      <c r="D107" s="18"/>
    </row>
    <row r="108" spans="4:4" x14ac:dyDescent="0.2">
      <c r="D108" s="18"/>
    </row>
    <row r="109" spans="4:4" x14ac:dyDescent="0.2">
      <c r="D109" s="18"/>
    </row>
    <row r="110" spans="4:4" x14ac:dyDescent="0.2">
      <c r="D110" s="18"/>
    </row>
    <row r="111" spans="4:4" x14ac:dyDescent="0.2">
      <c r="D111" s="18"/>
    </row>
    <row r="112" spans="4:4" x14ac:dyDescent="0.2">
      <c r="D112" s="18"/>
    </row>
    <row r="113" spans="4:4" x14ac:dyDescent="0.2">
      <c r="D113" s="18"/>
    </row>
    <row r="114" spans="4:4" x14ac:dyDescent="0.2">
      <c r="D114" s="18"/>
    </row>
    <row r="115" spans="4:4" x14ac:dyDescent="0.2">
      <c r="D115" s="18"/>
    </row>
    <row r="116" spans="4:4" x14ac:dyDescent="0.2">
      <c r="D116" s="18"/>
    </row>
    <row r="117" spans="4:4" x14ac:dyDescent="0.2">
      <c r="D117" s="18"/>
    </row>
    <row r="118" spans="4:4" x14ac:dyDescent="0.2">
      <c r="D118" s="18"/>
    </row>
    <row r="119" spans="4:4" x14ac:dyDescent="0.2">
      <c r="D119" s="18"/>
    </row>
    <row r="120" spans="4:4" x14ac:dyDescent="0.2">
      <c r="D120" s="18"/>
    </row>
    <row r="121" spans="4:4" x14ac:dyDescent="0.2">
      <c r="D121" s="18"/>
    </row>
    <row r="122" spans="4:4" x14ac:dyDescent="0.2">
      <c r="D122" s="18"/>
    </row>
    <row r="123" spans="4:4" x14ac:dyDescent="0.2">
      <c r="D123" s="18"/>
    </row>
    <row r="124" spans="4:4" x14ac:dyDescent="0.2">
      <c r="D124" s="18"/>
    </row>
    <row r="125" spans="4:4" x14ac:dyDescent="0.2">
      <c r="D125" s="18"/>
    </row>
    <row r="126" spans="4:4" x14ac:dyDescent="0.2">
      <c r="D126" s="18"/>
    </row>
    <row r="127" spans="4:4" x14ac:dyDescent="0.2">
      <c r="D127" s="18"/>
    </row>
    <row r="128" spans="4:4" x14ac:dyDescent="0.2">
      <c r="D128" s="18"/>
    </row>
    <row r="129" spans="4:4" x14ac:dyDescent="0.2">
      <c r="D129" s="18"/>
    </row>
    <row r="130" spans="4:4" x14ac:dyDescent="0.2">
      <c r="D130" s="18"/>
    </row>
    <row r="131" spans="4:4" x14ac:dyDescent="0.2">
      <c r="D131" s="18"/>
    </row>
    <row r="132" spans="4:4" x14ac:dyDescent="0.2">
      <c r="D132" s="18"/>
    </row>
    <row r="133" spans="4:4" x14ac:dyDescent="0.2">
      <c r="D133" s="18"/>
    </row>
    <row r="134" spans="4:4" x14ac:dyDescent="0.2">
      <c r="D134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3300"/>
  </sheetPr>
  <dimension ref="A2:H70"/>
  <sheetViews>
    <sheetView workbookViewId="0">
      <selection activeCell="E34" sqref="E34"/>
    </sheetView>
  </sheetViews>
  <sheetFormatPr defaultRowHeight="12.75" x14ac:dyDescent="0.2"/>
  <cols>
    <col min="1" max="1" width="15.28515625" bestFit="1" customWidth="1"/>
    <col min="2" max="2" width="37.140625" bestFit="1" customWidth="1"/>
    <col min="3" max="3" width="12.140625" bestFit="1" customWidth="1"/>
    <col min="4" max="4" width="44.42578125" bestFit="1" customWidth="1"/>
    <col min="5" max="5" width="37" customWidth="1"/>
    <col min="6" max="6" width="16.85546875" customWidth="1"/>
  </cols>
  <sheetData>
    <row r="2" spans="1:8" x14ac:dyDescent="0.2">
      <c r="A2" s="19" t="s">
        <v>409</v>
      </c>
      <c r="B2">
        <v>0</v>
      </c>
      <c r="H2" s="61" t="s">
        <v>404</v>
      </c>
    </row>
    <row r="3" spans="1:8" x14ac:dyDescent="0.2">
      <c r="A3" s="19" t="s">
        <v>403</v>
      </c>
      <c r="B3" s="18"/>
      <c r="H3" s="61" t="s">
        <v>405</v>
      </c>
    </row>
    <row r="4" spans="1:8" x14ac:dyDescent="0.2">
      <c r="A4" s="57" t="s">
        <v>398</v>
      </c>
      <c r="B4" s="58" t="s">
        <v>323</v>
      </c>
      <c r="C4" s="58" t="s">
        <v>402</v>
      </c>
      <c r="D4" s="58" t="s">
        <v>109</v>
      </c>
      <c r="E4" s="58" t="s">
        <v>325</v>
      </c>
      <c r="F4" s="58" t="s">
        <v>391</v>
      </c>
      <c r="G4" s="59" t="s">
        <v>117</v>
      </c>
      <c r="H4" s="60" t="s">
        <v>2</v>
      </c>
    </row>
    <row r="5" spans="1:8" s="3" customFormat="1" ht="13.5" thickBot="1" x14ac:dyDescent="0.25">
      <c r="A5" s="13"/>
      <c r="B5" s="13"/>
      <c r="C5" s="13"/>
      <c r="D5" s="13"/>
      <c r="E5" s="66"/>
      <c r="F5" s="13"/>
      <c r="G5" s="13"/>
      <c r="H5" s="13"/>
    </row>
    <row r="6" spans="1:8" s="3" customFormat="1" x14ac:dyDescent="0.2">
      <c r="A6" s="10"/>
      <c r="B6" s="10"/>
      <c r="C6" s="10"/>
      <c r="D6" s="10"/>
      <c r="E6" s="67"/>
      <c r="F6" s="62"/>
      <c r="G6" s="10"/>
      <c r="H6" s="10"/>
    </row>
    <row r="7" spans="1:8" s="3" customFormat="1" x14ac:dyDescent="0.2">
      <c r="A7" s="10"/>
      <c r="B7" s="10"/>
      <c r="C7" s="10"/>
      <c r="D7" s="10"/>
      <c r="E7" s="67"/>
      <c r="F7" s="62"/>
      <c r="G7" s="10"/>
      <c r="H7" s="10"/>
    </row>
    <row r="8" spans="1:8" s="3" customFormat="1" x14ac:dyDescent="0.2">
      <c r="A8" s="10"/>
      <c r="B8" s="10"/>
      <c r="C8" s="10"/>
      <c r="D8" s="10"/>
      <c r="E8" s="67"/>
      <c r="F8" s="62"/>
      <c r="G8" s="10"/>
      <c r="H8" s="10"/>
    </row>
    <row r="9" spans="1:8" s="3" customFormat="1" x14ac:dyDescent="0.2">
      <c r="A9" s="10"/>
      <c r="B9" s="10"/>
      <c r="C9" s="10"/>
      <c r="D9" s="10"/>
      <c r="E9" s="67"/>
      <c r="F9" s="62"/>
      <c r="G9" s="10"/>
      <c r="H9" s="10"/>
    </row>
    <row r="10" spans="1:8" s="3" customFormat="1" x14ac:dyDescent="0.2">
      <c r="A10" s="10"/>
      <c r="B10" s="10"/>
      <c r="C10" s="10"/>
      <c r="D10" s="10"/>
      <c r="E10" s="67"/>
      <c r="F10" s="62"/>
      <c r="G10" s="10"/>
      <c r="H10" s="10"/>
    </row>
    <row r="11" spans="1:8" s="3" customFormat="1" x14ac:dyDescent="0.2">
      <c r="A11" s="10"/>
      <c r="B11" s="10"/>
      <c r="C11" s="10"/>
      <c r="D11" s="10"/>
      <c r="E11" s="67"/>
      <c r="F11" s="62"/>
      <c r="G11" s="10"/>
      <c r="H11" s="10"/>
    </row>
    <row r="12" spans="1:8" s="3" customFormat="1" ht="13.5" thickBot="1" x14ac:dyDescent="0.25">
      <c r="A12" s="10"/>
      <c r="B12" s="10"/>
      <c r="C12" s="10"/>
      <c r="D12" s="10"/>
      <c r="E12" s="67"/>
      <c r="F12" s="62"/>
      <c r="G12" s="10"/>
      <c r="H12" s="10"/>
    </row>
    <row r="13" spans="1:8" s="3" customFormat="1" ht="13.5" thickBot="1" x14ac:dyDescent="0.25">
      <c r="A13" s="68"/>
      <c r="B13" s="68"/>
      <c r="C13" s="68"/>
      <c r="D13" s="68"/>
      <c r="E13" s="69"/>
      <c r="F13" s="70"/>
      <c r="G13" s="68"/>
      <c r="H13" s="68"/>
    </row>
    <row r="14" spans="1:8" s="3" customFormat="1" ht="13.5" thickBot="1" x14ac:dyDescent="0.25">
      <c r="A14" s="71"/>
      <c r="B14" s="71"/>
      <c r="C14" s="71"/>
      <c r="D14" s="71"/>
      <c r="E14" s="72"/>
      <c r="F14" s="73"/>
      <c r="G14" s="71"/>
      <c r="H14" s="71"/>
    </row>
    <row r="15" spans="1:8" s="3" customFormat="1" ht="13.5" thickBot="1" x14ac:dyDescent="0.25">
      <c r="A15" s="71"/>
      <c r="B15" s="71"/>
      <c r="C15" s="71"/>
      <c r="D15" s="71"/>
      <c r="E15" s="72"/>
      <c r="F15" s="73"/>
      <c r="G15" s="71"/>
      <c r="H15" s="71"/>
    </row>
    <row r="16" spans="1:8" s="3" customFormat="1" ht="13.5" thickBot="1" x14ac:dyDescent="0.25">
      <c r="A16" s="71"/>
      <c r="B16" s="71"/>
      <c r="C16" s="71"/>
      <c r="D16" s="71"/>
      <c r="E16" s="72"/>
      <c r="F16" s="73"/>
      <c r="G16" s="71"/>
      <c r="H16" s="71"/>
    </row>
    <row r="17" spans="1:8" s="3" customFormat="1" x14ac:dyDescent="0.2">
      <c r="A17" s="74"/>
      <c r="B17" s="74"/>
      <c r="C17" s="74"/>
      <c r="D17" s="74"/>
      <c r="E17" s="75"/>
      <c r="F17" s="76"/>
      <c r="G17" s="74"/>
      <c r="H17" s="74"/>
    </row>
    <row r="18" spans="1:8" s="3" customFormat="1" x14ac:dyDescent="0.2">
      <c r="A18" s="10"/>
      <c r="B18" s="10"/>
      <c r="C18" s="10"/>
      <c r="D18" s="10"/>
      <c r="E18" s="65"/>
      <c r="F18" s="62"/>
      <c r="G18" s="10"/>
      <c r="H18" s="10"/>
    </row>
    <row r="19" spans="1:8" s="3" customFormat="1" x14ac:dyDescent="0.2">
      <c r="A19" s="10"/>
      <c r="B19" s="10"/>
      <c r="C19" s="10"/>
      <c r="D19" s="10"/>
      <c r="E19" s="65"/>
      <c r="F19" s="62"/>
      <c r="G19" s="10"/>
      <c r="H19" s="10"/>
    </row>
    <row r="20" spans="1:8" s="3" customFormat="1" x14ac:dyDescent="0.2">
      <c r="A20" s="10"/>
      <c r="B20" s="10"/>
      <c r="C20" s="10"/>
      <c r="D20" s="10"/>
      <c r="E20" s="65"/>
      <c r="F20" s="62"/>
      <c r="G20" s="10"/>
      <c r="H20" s="10"/>
    </row>
    <row r="21" spans="1:8" s="3" customFormat="1" x14ac:dyDescent="0.2">
      <c r="A21" s="10"/>
      <c r="B21" s="10"/>
      <c r="C21" s="10"/>
      <c r="D21" s="10"/>
      <c r="E21" s="65"/>
      <c r="F21" s="62"/>
      <c r="G21" s="10"/>
      <c r="H21" s="10"/>
    </row>
    <row r="22" spans="1:8" s="3" customFormat="1" x14ac:dyDescent="0.2">
      <c r="A22" s="10"/>
      <c r="B22" s="10"/>
      <c r="C22" s="10"/>
      <c r="D22" s="10"/>
      <c r="E22" s="65"/>
      <c r="F22" s="62"/>
      <c r="G22" s="10"/>
      <c r="H22" s="10"/>
    </row>
    <row r="23" spans="1:8" s="3" customFormat="1" x14ac:dyDescent="0.2">
      <c r="A23" s="25"/>
      <c r="B23" s="25"/>
      <c r="C23" s="25"/>
      <c r="D23" s="25"/>
      <c r="E23" s="63"/>
      <c r="F23" s="64"/>
      <c r="G23" s="25"/>
      <c r="H23" s="25"/>
    </row>
    <row r="24" spans="1:8" s="3" customFormat="1" x14ac:dyDescent="0.2">
      <c r="A24" s="25"/>
      <c r="B24" s="25"/>
      <c r="C24" s="25"/>
      <c r="D24" s="25"/>
      <c r="E24" s="63"/>
      <c r="F24" s="64"/>
      <c r="G24" s="25"/>
      <c r="H24" s="25"/>
    </row>
    <row r="25" spans="1:8" s="3" customFormat="1" x14ac:dyDescent="0.2">
      <c r="A25" s="25"/>
      <c r="B25" s="25"/>
      <c r="C25" s="25"/>
      <c r="D25" s="25"/>
      <c r="E25" s="63"/>
      <c r="F25" s="64"/>
      <c r="G25" s="25"/>
      <c r="H25" s="25"/>
    </row>
    <row r="26" spans="1:8" s="3" customFormat="1" x14ac:dyDescent="0.2">
      <c r="A26" s="25"/>
      <c r="B26" s="25"/>
      <c r="C26" s="25"/>
      <c r="D26" s="25"/>
      <c r="E26" s="63"/>
      <c r="F26" s="64"/>
      <c r="G26" s="25"/>
      <c r="H26" s="25"/>
    </row>
    <row r="27" spans="1:8" s="3" customFormat="1" x14ac:dyDescent="0.2">
      <c r="A27" s="25"/>
      <c r="B27" s="25"/>
      <c r="C27" s="25"/>
      <c r="D27" s="25"/>
      <c r="E27" s="63"/>
      <c r="F27" s="64"/>
      <c r="G27" s="25"/>
      <c r="H27" s="25"/>
    </row>
    <row r="28" spans="1:8" s="3" customFormat="1" x14ac:dyDescent="0.2">
      <c r="A28" s="25"/>
      <c r="B28" s="25"/>
      <c r="C28" s="25"/>
      <c r="D28" s="25"/>
      <c r="E28" s="63"/>
      <c r="F28" s="64"/>
      <c r="G28" s="25"/>
      <c r="H28" s="25"/>
    </row>
    <row r="29" spans="1:8" s="3" customFormat="1" x14ac:dyDescent="0.2">
      <c r="A29" s="25"/>
      <c r="B29" s="25"/>
      <c r="C29" s="25"/>
      <c r="D29" s="25"/>
      <c r="E29" s="63"/>
      <c r="F29" s="64"/>
      <c r="G29" s="25"/>
      <c r="H29" s="25"/>
    </row>
    <row r="30" spans="1:8" s="3" customFormat="1" x14ac:dyDescent="0.2">
      <c r="A30" s="25"/>
      <c r="B30" s="25"/>
      <c r="C30" s="25"/>
      <c r="D30" s="25"/>
      <c r="E30" s="63"/>
      <c r="F30" s="64"/>
      <c r="G30" s="25"/>
      <c r="H30" s="25"/>
    </row>
    <row r="31" spans="1:8" s="3" customFormat="1" x14ac:dyDescent="0.2">
      <c r="A31" s="25"/>
      <c r="B31" s="25"/>
      <c r="C31" s="25"/>
      <c r="D31" s="25"/>
      <c r="E31" s="63"/>
      <c r="F31" s="64"/>
      <c r="G31" s="25"/>
      <c r="H31" s="25"/>
    </row>
    <row r="32" spans="1:8" s="3" customFormat="1" x14ac:dyDescent="0.2">
      <c r="A32" s="25"/>
      <c r="B32" s="25"/>
      <c r="C32" s="25"/>
      <c r="D32" s="25"/>
      <c r="E32" s="63"/>
      <c r="F32" s="64"/>
      <c r="G32" s="25"/>
      <c r="H32" s="25"/>
    </row>
    <row r="33" spans="1:8" s="3" customFormat="1" x14ac:dyDescent="0.2">
      <c r="A33" s="10"/>
      <c r="B33" s="10"/>
      <c r="C33" s="10"/>
      <c r="D33" s="10"/>
      <c r="E33" s="62"/>
      <c r="F33" s="10"/>
      <c r="G33" s="10"/>
      <c r="H33" s="10"/>
    </row>
    <row r="34" spans="1:8" s="3" customFormat="1" x14ac:dyDescent="0.2">
      <c r="A34" s="10"/>
      <c r="B34" s="10"/>
      <c r="C34" s="10"/>
      <c r="D34" s="10"/>
      <c r="E34" s="62"/>
      <c r="F34" s="10"/>
      <c r="G34" s="10"/>
      <c r="H34" s="10"/>
    </row>
    <row r="35" spans="1:8" s="3" customFormat="1" x14ac:dyDescent="0.2">
      <c r="A35" s="10"/>
      <c r="B35" s="10"/>
      <c r="C35" s="10"/>
      <c r="D35" s="10"/>
      <c r="E35" s="62"/>
      <c r="F35" s="10"/>
      <c r="G35" s="10"/>
      <c r="H35" s="10"/>
    </row>
    <row r="36" spans="1:8" s="3" customFormat="1" x14ac:dyDescent="0.2">
      <c r="A36" s="10"/>
      <c r="B36" s="10"/>
      <c r="C36" s="10"/>
      <c r="D36" s="10"/>
      <c r="E36" s="62"/>
      <c r="F36" s="10"/>
      <c r="G36" s="10"/>
      <c r="H36" s="10"/>
    </row>
    <row r="37" spans="1:8" s="3" customFormat="1" x14ac:dyDescent="0.2">
      <c r="E37" s="18"/>
    </row>
    <row r="38" spans="1:8" s="3" customFormat="1" x14ac:dyDescent="0.2">
      <c r="E38" s="18"/>
    </row>
    <row r="39" spans="1:8" s="3" customFormat="1" x14ac:dyDescent="0.2">
      <c r="E39" s="18"/>
    </row>
    <row r="40" spans="1:8" s="3" customFormat="1" x14ac:dyDescent="0.2">
      <c r="E40" s="18"/>
    </row>
    <row r="41" spans="1:8" s="3" customFormat="1" x14ac:dyDescent="0.2">
      <c r="E41" s="18"/>
    </row>
    <row r="42" spans="1:8" s="3" customFormat="1" x14ac:dyDescent="0.2">
      <c r="E42" s="18"/>
    </row>
    <row r="43" spans="1:8" s="3" customFormat="1" x14ac:dyDescent="0.2">
      <c r="E43" s="18"/>
    </row>
    <row r="44" spans="1:8" s="3" customFormat="1" x14ac:dyDescent="0.2">
      <c r="E44" s="18"/>
    </row>
    <row r="45" spans="1:8" s="3" customFormat="1" x14ac:dyDescent="0.2">
      <c r="E45" s="18"/>
    </row>
    <row r="46" spans="1:8" s="3" customFormat="1" x14ac:dyDescent="0.2">
      <c r="E46" s="18"/>
    </row>
    <row r="47" spans="1:8" s="3" customFormat="1" x14ac:dyDescent="0.2">
      <c r="E47" s="18"/>
    </row>
    <row r="48" spans="1:8" s="3" customFormat="1" x14ac:dyDescent="0.2"/>
    <row r="49" spans="5:5" s="3" customFormat="1" x14ac:dyDescent="0.2"/>
    <row r="50" spans="5:5" s="3" customFormat="1" x14ac:dyDescent="0.2">
      <c r="E50" s="18"/>
    </row>
    <row r="51" spans="5:5" s="3" customFormat="1" x14ac:dyDescent="0.2">
      <c r="E51" s="18"/>
    </row>
    <row r="52" spans="5:5" s="3" customFormat="1" x14ac:dyDescent="0.2">
      <c r="E52" s="18"/>
    </row>
    <row r="53" spans="5:5" s="3" customFormat="1" x14ac:dyDescent="0.2">
      <c r="E53" s="18"/>
    </row>
    <row r="54" spans="5:5" s="3" customFormat="1" x14ac:dyDescent="0.2">
      <c r="E54" s="18"/>
    </row>
    <row r="55" spans="5:5" s="3" customFormat="1" x14ac:dyDescent="0.2">
      <c r="E55" s="18"/>
    </row>
    <row r="56" spans="5:5" s="3" customFormat="1" x14ac:dyDescent="0.2">
      <c r="E56" s="18"/>
    </row>
    <row r="57" spans="5:5" s="3" customFormat="1" x14ac:dyDescent="0.2"/>
    <row r="58" spans="5:5" s="3" customFormat="1" x14ac:dyDescent="0.2"/>
    <row r="59" spans="5:5" s="3" customFormat="1" x14ac:dyDescent="0.2"/>
    <row r="60" spans="5:5" s="3" customFormat="1" x14ac:dyDescent="0.2"/>
    <row r="61" spans="5:5" s="3" customFormat="1" x14ac:dyDescent="0.2"/>
    <row r="62" spans="5:5" s="3" customFormat="1" x14ac:dyDescent="0.2"/>
    <row r="63" spans="5:5" s="3" customFormat="1" x14ac:dyDescent="0.2"/>
    <row r="64" spans="5:5" s="3" customFormat="1" x14ac:dyDescent="0.2"/>
    <row r="65" s="3" customFormat="1" x14ac:dyDescent="0.2"/>
    <row r="66" s="3" customFormat="1" x14ac:dyDescent="0.2"/>
    <row r="67" s="3" customFormat="1" x14ac:dyDescent="0.2"/>
    <row r="68" s="3" customFormat="1" x14ac:dyDescent="0.2"/>
    <row r="69" s="3" customFormat="1" x14ac:dyDescent="0.2"/>
    <row r="70" s="3" customFormat="1" x14ac:dyDescent="0.2"/>
  </sheetData>
  <conditionalFormatting sqref="A5:H40">
    <cfRule type="expression" dxfId="16" priority="2">
      <formula>EXACT($H5,"Solved")</formula>
    </cfRule>
  </conditionalFormatting>
  <conditionalFormatting sqref="A5:H37">
    <cfRule type="expression" dxfId="15" priority="1">
      <formula>EXACT($H5,"Unsolved")</formula>
    </cfRule>
  </conditionalFormatting>
  <dataValidations count="2">
    <dataValidation type="list" allowBlank="1" showInputMessage="1" showErrorMessage="1" sqref="H4">
      <formula1>$I$2:$I$3</formula1>
    </dataValidation>
    <dataValidation type="list" allowBlank="1" showInputMessage="1" showErrorMessage="1" sqref="H5:H66">
      <formula1>$H$2:$H$3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showGridLines="0" showRowColHeaders="0" zoomScale="130" zoomScaleNormal="130" workbookViewId="0">
      <selection activeCell="D26" sqref="D26"/>
    </sheetView>
  </sheetViews>
  <sheetFormatPr defaultRowHeight="12.75" x14ac:dyDescent="0.2"/>
  <cols>
    <col min="1" max="1" width="32.7109375" bestFit="1" customWidth="1"/>
    <col min="2" max="2" width="13.7109375" bestFit="1" customWidth="1"/>
    <col min="3" max="3" width="13.85546875" style="3" customWidth="1"/>
    <col min="4" max="4" width="66.42578125" customWidth="1"/>
  </cols>
  <sheetData>
    <row r="1" spans="1:6" ht="15" x14ac:dyDescent="0.2">
      <c r="C1" s="19" t="s">
        <v>327</v>
      </c>
      <c r="F1" s="42"/>
    </row>
    <row r="2" spans="1:6" ht="15" x14ac:dyDescent="0.25">
      <c r="A2" s="32" t="s">
        <v>323</v>
      </c>
      <c r="B2" s="32" t="s">
        <v>324</v>
      </c>
      <c r="C2" s="32" t="s">
        <v>326</v>
      </c>
      <c r="D2" s="32" t="s">
        <v>325</v>
      </c>
      <c r="F2" s="42"/>
    </row>
    <row r="3" spans="1:6" ht="15" x14ac:dyDescent="0.2">
      <c r="A3" s="41" t="str">
        <f>IDs!A2</f>
        <v>PM-CMPS Identify Compromised Systems</v>
      </c>
      <c r="B3" s="30">
        <v>42736</v>
      </c>
      <c r="C3" s="30" t="b">
        <f t="shared" ref="C3" ca="1" si="0">IF(NOW() &gt; B3,TRUE,FALSE)</f>
        <v>1</v>
      </c>
      <c r="D3" s="31"/>
      <c r="F3" s="42"/>
    </row>
    <row r="4" spans="1:6" ht="15" x14ac:dyDescent="0.2">
      <c r="A4" s="83" t="str">
        <f>IDs!A3</f>
        <v>PM-REBS Rebuild Servers</v>
      </c>
      <c r="B4" s="30">
        <v>43466</v>
      </c>
      <c r="C4" s="30" t="b">
        <f t="shared" ref="C4:C18" ca="1" si="1">IF(NOW() &gt; B4,TRUE,FALSE)</f>
        <v>0</v>
      </c>
      <c r="D4" s="31"/>
      <c r="F4" s="42"/>
    </row>
    <row r="5" spans="1:6" ht="15" x14ac:dyDescent="0.2">
      <c r="A5" s="83" t="str">
        <f>IDs!A4</f>
        <v>PM-REBC Rebuild Clients</v>
      </c>
      <c r="B5" s="30"/>
      <c r="C5" s="30" t="b">
        <f t="shared" ca="1" si="1"/>
        <v>1</v>
      </c>
      <c r="D5" s="31"/>
      <c r="F5" s="42"/>
    </row>
    <row r="6" spans="1:6" ht="15" x14ac:dyDescent="0.2">
      <c r="A6" s="83" t="str">
        <f>IDs!A5</f>
        <v>PM-PWCC Password Change for Privileged Local Accounts</v>
      </c>
      <c r="B6" s="30"/>
      <c r="C6" s="30" t="b">
        <f t="shared" ca="1" si="1"/>
        <v>1</v>
      </c>
      <c r="D6" s="31"/>
      <c r="F6" s="42"/>
    </row>
    <row r="7" spans="1:6" ht="15" x14ac:dyDescent="0.2">
      <c r="A7" s="83" t="str">
        <f>IDs!A6</f>
        <v>PM-KTGT Kerberos TGT Reset</v>
      </c>
      <c r="B7" s="30"/>
      <c r="C7" s="30" t="b">
        <f t="shared" ca="1" si="1"/>
        <v>1</v>
      </c>
      <c r="D7" s="31"/>
      <c r="F7" s="42"/>
    </row>
    <row r="8" spans="1:6" ht="15" x14ac:dyDescent="0.2">
      <c r="A8" s="83" t="str">
        <f>IDs!A7</f>
        <v>PM-BLKI Block Internet Connection</v>
      </c>
      <c r="B8" s="30"/>
      <c r="C8" s="30" t="b">
        <f t="shared" ca="1" si="1"/>
        <v>1</v>
      </c>
      <c r="D8" s="31"/>
      <c r="F8" s="42"/>
    </row>
    <row r="9" spans="1:6" ht="15" x14ac:dyDescent="0.2">
      <c r="A9" s="83" t="str">
        <f>IDs!A8</f>
        <v>PM-BLKS Block System-To-System Connection</v>
      </c>
      <c r="B9" s="30"/>
      <c r="C9" s="30" t="b">
        <f t="shared" ca="1" si="1"/>
        <v>1</v>
      </c>
      <c r="D9" s="31"/>
      <c r="F9" s="42"/>
    </row>
    <row r="10" spans="1:6" ht="15" x14ac:dyDescent="0.2">
      <c r="A10" s="83" t="str">
        <f>IDs!A9</f>
        <v>PM-BLIP IP Blacklisting</v>
      </c>
      <c r="B10" s="30"/>
      <c r="C10" s="30" t="b">
        <f t="shared" ca="1" si="1"/>
        <v>1</v>
      </c>
      <c r="D10" s="31"/>
      <c r="F10" s="42"/>
    </row>
    <row r="11" spans="1:6" ht="15" x14ac:dyDescent="0.2">
      <c r="A11" s="83" t="str">
        <f>IDs!A10</f>
        <v>PM-RMAC Replace RAT</v>
      </c>
      <c r="B11" s="30"/>
      <c r="C11" s="30" t="b">
        <f t="shared" ca="1" si="1"/>
        <v>1</v>
      </c>
      <c r="D11" s="31"/>
      <c r="F11" s="42"/>
    </row>
    <row r="12" spans="1:6" ht="15" x14ac:dyDescent="0.2">
      <c r="A12" s="83" t="str">
        <f>IDs!A11</f>
        <v>PM-SHDN Sinkhole Domain Names</v>
      </c>
      <c r="B12" s="30"/>
      <c r="C12" s="30" t="b">
        <f t="shared" ca="1" si="1"/>
        <v>1</v>
      </c>
      <c r="D12" s="31"/>
      <c r="F12" s="42"/>
    </row>
    <row r="13" spans="1:6" ht="15" x14ac:dyDescent="0.2">
      <c r="A13" s="83" t="str">
        <f>IDs!A12</f>
        <v>PM-PWCE Enterprise Password Change</v>
      </c>
      <c r="B13" s="30"/>
      <c r="C13" s="30" t="b">
        <f t="shared" ca="1" si="1"/>
        <v>1</v>
      </c>
      <c r="D13" s="31"/>
      <c r="F13" s="42"/>
    </row>
    <row r="14" spans="1:6" ht="15" x14ac:dyDescent="0.2">
      <c r="A14" s="83" t="str">
        <f>IDs!A13</f>
        <v>PM-ESAE Implement ESAE</v>
      </c>
      <c r="B14" s="30"/>
      <c r="C14" s="30" t="b">
        <f t="shared" ca="1" si="1"/>
        <v>1</v>
      </c>
      <c r="D14" s="31"/>
      <c r="F14" s="42"/>
    </row>
    <row r="15" spans="1:6" ht="15" x14ac:dyDescent="0.2">
      <c r="A15" s="83" t="str">
        <f>IDs!A14</f>
        <v>PM-WHIT Application Whitelisting on DCs</v>
      </c>
      <c r="B15" s="30"/>
      <c r="C15" s="30" t="b">
        <f t="shared" ca="1" si="1"/>
        <v>1</v>
      </c>
      <c r="D15" s="31"/>
      <c r="F15" s="42"/>
    </row>
    <row r="16" spans="1:6" ht="15" x14ac:dyDescent="0.2">
      <c r="A16" s="83" t="str">
        <f>IDs!A15</f>
        <v>PM-MVUL Scan for vulnerable Middleware components</v>
      </c>
      <c r="B16" s="30"/>
      <c r="C16" s="30" t="b">
        <f t="shared" ca="1" si="1"/>
        <v>1</v>
      </c>
      <c r="D16" s="31"/>
      <c r="F16" s="42"/>
    </row>
    <row r="17" spans="1:6" ht="15" x14ac:dyDescent="0.2">
      <c r="A17" s="83" t="str">
        <f>IDs!A16</f>
        <v>PM-MHRD Middleware hardening</v>
      </c>
      <c r="B17" s="30"/>
      <c r="C17" s="30" t="b">
        <f t="shared" ca="1" si="1"/>
        <v>1</v>
      </c>
      <c r="D17" s="31"/>
      <c r="F17" s="42"/>
    </row>
    <row r="18" spans="1:6" ht="15" x14ac:dyDescent="0.2">
      <c r="A18" s="83" t="str">
        <f>IDs!A17</f>
        <v>PM-AWRN: Awareness</v>
      </c>
      <c r="B18" s="30"/>
      <c r="C18" s="30" t="b">
        <f t="shared" ca="1" si="1"/>
        <v>1</v>
      </c>
      <c r="D18" s="31"/>
      <c r="F18" s="42"/>
    </row>
    <row r="19" spans="1:6" ht="15" x14ac:dyDescent="0.2">
      <c r="F19" s="42"/>
    </row>
  </sheetData>
  <conditionalFormatting sqref="C3:C18">
    <cfRule type="containsText" dxfId="14" priority="1" operator="containsText" text="TRUE">
      <formula>NOT(ISERROR(SEARCH("TRUE",C3)))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0"/>
  </sheetPr>
  <dimension ref="A1:L402"/>
  <sheetViews>
    <sheetView showGridLines="0" zoomScale="110" zoomScaleNormal="110" workbookViewId="0">
      <selection activeCell="D40" sqref="D40"/>
    </sheetView>
  </sheetViews>
  <sheetFormatPr defaultColWidth="11.42578125" defaultRowHeight="12.75" x14ac:dyDescent="0.2"/>
  <cols>
    <col min="1" max="1" width="13.28515625" customWidth="1"/>
    <col min="2" max="2" width="31.42578125" customWidth="1"/>
    <col min="3" max="3" width="19.7109375" customWidth="1"/>
    <col min="5" max="5" width="10" customWidth="1"/>
    <col min="6" max="6" width="10.85546875" customWidth="1"/>
    <col min="8" max="8" width="3.140625" customWidth="1"/>
    <col min="9" max="9" width="3.42578125" customWidth="1"/>
    <col min="10" max="10" width="4" bestFit="1" customWidth="1"/>
    <col min="11" max="11" width="19.7109375" customWidth="1"/>
    <col min="12" max="12" width="16.7109375" bestFit="1" customWidth="1"/>
  </cols>
  <sheetData>
    <row r="1" spans="1:12" ht="13.5" thickTop="1" x14ac:dyDescent="0.2">
      <c r="A1" s="43" t="s">
        <v>398</v>
      </c>
      <c r="B1" s="44" t="s">
        <v>323</v>
      </c>
      <c r="C1" s="44" t="s">
        <v>41</v>
      </c>
      <c r="D1" s="44" t="s">
        <v>0</v>
      </c>
      <c r="E1" s="44" t="s">
        <v>2</v>
      </c>
      <c r="F1" s="44" t="s">
        <v>309</v>
      </c>
      <c r="G1" s="45" t="s">
        <v>31</v>
      </c>
      <c r="H1" s="51"/>
      <c r="I1" s="51"/>
      <c r="J1" s="51"/>
      <c r="K1" s="56" t="s">
        <v>391</v>
      </c>
      <c r="L1" s="45" t="s">
        <v>401</v>
      </c>
    </row>
    <row r="2" spans="1:12" x14ac:dyDescent="0.2">
      <c r="A2" s="46" t="s">
        <v>396</v>
      </c>
      <c r="B2" s="96" t="s">
        <v>357</v>
      </c>
      <c r="C2" s="96" t="s">
        <v>153</v>
      </c>
      <c r="D2" s="97" t="s">
        <v>225</v>
      </c>
      <c r="E2" s="96" t="s">
        <v>18</v>
      </c>
      <c r="F2" s="96" t="s">
        <v>356</v>
      </c>
      <c r="G2" s="47" t="s">
        <v>32</v>
      </c>
      <c r="H2" s="52" t="str">
        <f>VLOOKUP(G2,ColorTable[],2,FALSE)</f>
        <v>192</v>
      </c>
      <c r="I2" s="52" t="str">
        <f>VLOOKUP(G2,ColorTable[],3,FALSE)</f>
        <v>192</v>
      </c>
      <c r="J2" s="52" t="str">
        <f>VLOOKUP(G2,ColorTable[],4,FALSE)</f>
        <v>192</v>
      </c>
      <c r="K2" s="99">
        <v>43020.520312499997</v>
      </c>
      <c r="L2" s="47" t="s">
        <v>414</v>
      </c>
    </row>
    <row r="3" spans="1:12" x14ac:dyDescent="0.2">
      <c r="A3" s="46" t="s">
        <v>396</v>
      </c>
      <c r="B3" s="96" t="s">
        <v>357</v>
      </c>
      <c r="C3" s="96" t="s">
        <v>332</v>
      </c>
      <c r="D3" s="97" t="s">
        <v>118</v>
      </c>
      <c r="E3" s="96" t="s">
        <v>19</v>
      </c>
      <c r="F3" s="96" t="s">
        <v>356</v>
      </c>
      <c r="G3" s="47" t="s">
        <v>158</v>
      </c>
      <c r="H3" s="52" t="str">
        <f>VLOOKUP(G3,ColorTable[],2,FALSE)</f>
        <v>0</v>
      </c>
      <c r="I3" s="52" t="str">
        <f>VLOOKUP(G3,ColorTable[],3,FALSE)</f>
        <v>116</v>
      </c>
      <c r="J3" s="52" t="str">
        <f>VLOOKUP(G3,ColorTable[],4,FALSE)</f>
        <v>161</v>
      </c>
      <c r="K3" s="98"/>
      <c r="L3" s="47"/>
    </row>
    <row r="4" spans="1:12" x14ac:dyDescent="0.2">
      <c r="A4" s="46" t="s">
        <v>396</v>
      </c>
      <c r="B4" s="96" t="s">
        <v>357</v>
      </c>
      <c r="C4" s="96" t="s">
        <v>154</v>
      </c>
      <c r="D4" s="97" t="s">
        <v>42</v>
      </c>
      <c r="E4" s="96" t="s">
        <v>19</v>
      </c>
      <c r="F4" s="96" t="s">
        <v>356</v>
      </c>
      <c r="G4" s="47" t="s">
        <v>36</v>
      </c>
      <c r="H4" s="52" t="str">
        <f>VLOOKUP(G4,ColorTable[],2,FALSE)</f>
        <v>184</v>
      </c>
      <c r="I4" s="52" t="str">
        <f>VLOOKUP(G4,ColorTable[],3,FALSE)</f>
        <v>210</v>
      </c>
      <c r="J4" s="52" t="str">
        <f>VLOOKUP(G4,ColorTable[],4,FALSE)</f>
        <v>100</v>
      </c>
      <c r="K4" s="98"/>
      <c r="L4" s="47"/>
    </row>
    <row r="5" spans="1:12" x14ac:dyDescent="0.2">
      <c r="A5" s="46" t="s">
        <v>396</v>
      </c>
      <c r="B5" s="96" t="s">
        <v>357</v>
      </c>
      <c r="C5" s="96" t="s">
        <v>155</v>
      </c>
      <c r="D5" s="97" t="s">
        <v>43</v>
      </c>
      <c r="E5" s="96" t="s">
        <v>19</v>
      </c>
      <c r="F5" s="96" t="s">
        <v>356</v>
      </c>
      <c r="G5" s="47" t="s">
        <v>21</v>
      </c>
      <c r="H5" s="52" t="str">
        <f>VLOOKUP(G5,ColorTable[],2,FALSE)</f>
        <v>113</v>
      </c>
      <c r="I5" s="52" t="str">
        <f>VLOOKUP(G5,ColorTable[],3,FALSE)</f>
        <v>171</v>
      </c>
      <c r="J5" s="52" t="str">
        <f>VLOOKUP(G5,ColorTable[],4,FALSE)</f>
        <v>26</v>
      </c>
      <c r="K5" s="98"/>
      <c r="L5" s="47"/>
    </row>
    <row r="6" spans="1:12" x14ac:dyDescent="0.2">
      <c r="A6" s="46" t="s">
        <v>396</v>
      </c>
      <c r="B6" s="96" t="s">
        <v>357</v>
      </c>
      <c r="C6" s="96" t="s">
        <v>156</v>
      </c>
      <c r="D6" s="97" t="s">
        <v>44</v>
      </c>
      <c r="E6" s="96" t="s">
        <v>19</v>
      </c>
      <c r="F6" s="96" t="s">
        <v>356</v>
      </c>
      <c r="G6" s="47" t="s">
        <v>21</v>
      </c>
      <c r="H6" s="52" t="str">
        <f>VLOOKUP(G6,ColorTable[],2,FALSE)</f>
        <v>113</v>
      </c>
      <c r="I6" s="52" t="str">
        <f>VLOOKUP(G6,ColorTable[],3,FALSE)</f>
        <v>171</v>
      </c>
      <c r="J6" s="52" t="str">
        <f>VLOOKUP(G6,ColorTable[],4,FALSE)</f>
        <v>26</v>
      </c>
      <c r="K6" s="98"/>
      <c r="L6" s="47"/>
    </row>
    <row r="7" spans="1:12" x14ac:dyDescent="0.2">
      <c r="A7" s="46" t="s">
        <v>396</v>
      </c>
      <c r="B7" s="96" t="s">
        <v>358</v>
      </c>
      <c r="C7" s="96" t="s">
        <v>153</v>
      </c>
      <c r="D7" s="97" t="s">
        <v>226</v>
      </c>
      <c r="E7" s="96" t="s">
        <v>18</v>
      </c>
      <c r="F7" s="96" t="s">
        <v>381</v>
      </c>
      <c r="G7" s="47" t="s">
        <v>32</v>
      </c>
      <c r="H7" s="52" t="str">
        <f>VLOOKUP(G7,ColorTable[],2,FALSE)</f>
        <v>192</v>
      </c>
      <c r="I7" s="52" t="str">
        <f>VLOOKUP(G7,ColorTable[],3,FALSE)</f>
        <v>192</v>
      </c>
      <c r="J7" s="52" t="str">
        <f>VLOOKUP(G7,ColorTable[],4,FALSE)</f>
        <v>192</v>
      </c>
      <c r="K7" s="98"/>
      <c r="L7" s="47"/>
    </row>
    <row r="8" spans="1:12" x14ac:dyDescent="0.2">
      <c r="A8" s="46" t="s">
        <v>396</v>
      </c>
      <c r="B8" s="96" t="s">
        <v>358</v>
      </c>
      <c r="C8" s="96" t="s">
        <v>332</v>
      </c>
      <c r="D8" s="97" t="s">
        <v>119</v>
      </c>
      <c r="E8" s="96" t="s">
        <v>19</v>
      </c>
      <c r="F8" s="96" t="s">
        <v>381</v>
      </c>
      <c r="G8" s="47" t="s">
        <v>158</v>
      </c>
      <c r="H8" s="52" t="str">
        <f>VLOOKUP(G8,ColorTable[],2,FALSE)</f>
        <v>0</v>
      </c>
      <c r="I8" s="52" t="str">
        <f>VLOOKUP(G8,ColorTable[],3,FALSE)</f>
        <v>116</v>
      </c>
      <c r="J8" s="52" t="str">
        <f>VLOOKUP(G8,ColorTable[],4,FALSE)</f>
        <v>161</v>
      </c>
      <c r="K8" s="98"/>
      <c r="L8" s="47"/>
    </row>
    <row r="9" spans="1:12" x14ac:dyDescent="0.2">
      <c r="A9" s="46" t="s">
        <v>396</v>
      </c>
      <c r="B9" s="96" t="s">
        <v>358</v>
      </c>
      <c r="C9" s="96" t="s">
        <v>154</v>
      </c>
      <c r="D9" s="97" t="s">
        <v>45</v>
      </c>
      <c r="E9" s="96" t="s">
        <v>19</v>
      </c>
      <c r="F9" s="96" t="s">
        <v>381</v>
      </c>
      <c r="G9" s="47" t="s">
        <v>36</v>
      </c>
      <c r="H9" s="52" t="str">
        <f>VLOOKUP(G9,ColorTable[],2,FALSE)</f>
        <v>184</v>
      </c>
      <c r="I9" s="52" t="str">
        <f>VLOOKUP(G9,ColorTable[],3,FALSE)</f>
        <v>210</v>
      </c>
      <c r="J9" s="52" t="str">
        <f>VLOOKUP(G9,ColorTable[],4,FALSE)</f>
        <v>100</v>
      </c>
      <c r="K9" s="98"/>
      <c r="L9" s="47"/>
    </row>
    <row r="10" spans="1:12" x14ac:dyDescent="0.2">
      <c r="A10" s="46" t="s">
        <v>396</v>
      </c>
      <c r="B10" s="96" t="s">
        <v>358</v>
      </c>
      <c r="C10" s="96" t="s">
        <v>155</v>
      </c>
      <c r="D10" s="97" t="s">
        <v>46</v>
      </c>
      <c r="E10" s="96" t="s">
        <v>19</v>
      </c>
      <c r="F10" s="96" t="s">
        <v>381</v>
      </c>
      <c r="G10" s="47" t="s">
        <v>21</v>
      </c>
      <c r="H10" s="52" t="str">
        <f>VLOOKUP(G10,ColorTable[],2,FALSE)</f>
        <v>113</v>
      </c>
      <c r="I10" s="52" t="str">
        <f>VLOOKUP(G10,ColorTable[],3,FALSE)</f>
        <v>171</v>
      </c>
      <c r="J10" s="52" t="str">
        <f>VLOOKUP(G10,ColorTable[],4,FALSE)</f>
        <v>26</v>
      </c>
      <c r="K10" s="98"/>
      <c r="L10" s="47"/>
    </row>
    <row r="11" spans="1:12" x14ac:dyDescent="0.2">
      <c r="A11" s="46" t="s">
        <v>396</v>
      </c>
      <c r="B11" s="96" t="s">
        <v>358</v>
      </c>
      <c r="C11" s="96" t="s">
        <v>156</v>
      </c>
      <c r="D11" s="97" t="s">
        <v>47</v>
      </c>
      <c r="E11" s="96" t="s">
        <v>19</v>
      </c>
      <c r="F11" s="96" t="s">
        <v>381</v>
      </c>
      <c r="G11" s="47" t="s">
        <v>21</v>
      </c>
      <c r="H11" s="52" t="str">
        <f>VLOOKUP(G11,ColorTable[],2,FALSE)</f>
        <v>113</v>
      </c>
      <c r="I11" s="52" t="str">
        <f>VLOOKUP(G11,ColorTable[],3,FALSE)</f>
        <v>171</v>
      </c>
      <c r="J11" s="52" t="str">
        <f>VLOOKUP(G11,ColorTable[],4,FALSE)</f>
        <v>26</v>
      </c>
      <c r="K11" s="98"/>
      <c r="L11" s="47"/>
    </row>
    <row r="12" spans="1:12" x14ac:dyDescent="0.2">
      <c r="A12" s="46" t="s">
        <v>396</v>
      </c>
      <c r="B12" s="96" t="s">
        <v>359</v>
      </c>
      <c r="C12" s="96" t="s">
        <v>153</v>
      </c>
      <c r="D12" s="97" t="s">
        <v>227</v>
      </c>
      <c r="E12" s="96" t="s">
        <v>18</v>
      </c>
      <c r="F12" s="96" t="s">
        <v>382</v>
      </c>
      <c r="G12" s="47" t="s">
        <v>32</v>
      </c>
      <c r="H12" s="52" t="str">
        <f>VLOOKUP(G12,ColorTable[],2,FALSE)</f>
        <v>192</v>
      </c>
      <c r="I12" s="52" t="str">
        <f>VLOOKUP(G12,ColorTable[],3,FALSE)</f>
        <v>192</v>
      </c>
      <c r="J12" s="52" t="str">
        <f>VLOOKUP(G12,ColorTable[],4,FALSE)</f>
        <v>192</v>
      </c>
      <c r="K12" s="98"/>
      <c r="L12" s="47"/>
    </row>
    <row r="13" spans="1:12" x14ac:dyDescent="0.2">
      <c r="A13" s="46" t="s">
        <v>396</v>
      </c>
      <c r="B13" s="96" t="s">
        <v>359</v>
      </c>
      <c r="C13" s="96" t="s">
        <v>332</v>
      </c>
      <c r="D13" s="97" t="s">
        <v>120</v>
      </c>
      <c r="E13" s="96" t="s">
        <v>19</v>
      </c>
      <c r="F13" s="96" t="s">
        <v>382</v>
      </c>
      <c r="G13" s="47" t="s">
        <v>158</v>
      </c>
      <c r="H13" s="52" t="str">
        <f>VLOOKUP(G13,ColorTable[],2,FALSE)</f>
        <v>0</v>
      </c>
      <c r="I13" s="52" t="str">
        <f>VLOOKUP(G13,ColorTable[],3,FALSE)</f>
        <v>116</v>
      </c>
      <c r="J13" s="52" t="str">
        <f>VLOOKUP(G13,ColorTable[],4,FALSE)</f>
        <v>161</v>
      </c>
      <c r="K13" s="98"/>
      <c r="L13" s="47"/>
    </row>
    <row r="14" spans="1:12" x14ac:dyDescent="0.2">
      <c r="A14" s="46" t="s">
        <v>396</v>
      </c>
      <c r="B14" s="96" t="s">
        <v>359</v>
      </c>
      <c r="C14" s="96" t="s">
        <v>154</v>
      </c>
      <c r="D14" s="97" t="s">
        <v>48</v>
      </c>
      <c r="E14" s="96" t="s">
        <v>19</v>
      </c>
      <c r="F14" s="96" t="s">
        <v>382</v>
      </c>
      <c r="G14" s="47" t="s">
        <v>36</v>
      </c>
      <c r="H14" s="52" t="str">
        <f>VLOOKUP(G14,ColorTable[],2,FALSE)</f>
        <v>184</v>
      </c>
      <c r="I14" s="52" t="str">
        <f>VLOOKUP(G14,ColorTable[],3,FALSE)</f>
        <v>210</v>
      </c>
      <c r="J14" s="52" t="str">
        <f>VLOOKUP(G14,ColorTable[],4,FALSE)</f>
        <v>100</v>
      </c>
      <c r="K14" s="98"/>
      <c r="L14" s="47"/>
    </row>
    <row r="15" spans="1:12" x14ac:dyDescent="0.2">
      <c r="A15" s="46" t="s">
        <v>396</v>
      </c>
      <c r="B15" s="96" t="s">
        <v>359</v>
      </c>
      <c r="C15" s="96" t="s">
        <v>155</v>
      </c>
      <c r="D15" s="97" t="s">
        <v>49</v>
      </c>
      <c r="E15" s="96" t="s">
        <v>19</v>
      </c>
      <c r="F15" s="96" t="s">
        <v>382</v>
      </c>
      <c r="G15" s="47" t="s">
        <v>21</v>
      </c>
      <c r="H15" s="52" t="str">
        <f>VLOOKUP(G15,ColorTable[],2,FALSE)</f>
        <v>113</v>
      </c>
      <c r="I15" s="52" t="str">
        <f>VLOOKUP(G15,ColorTable[],3,FALSE)</f>
        <v>171</v>
      </c>
      <c r="J15" s="52" t="str">
        <f>VLOOKUP(G15,ColorTable[],4,FALSE)</f>
        <v>26</v>
      </c>
      <c r="K15" s="98"/>
      <c r="L15" s="47"/>
    </row>
    <row r="16" spans="1:12" x14ac:dyDescent="0.2">
      <c r="A16" s="46" t="s">
        <v>396</v>
      </c>
      <c r="B16" s="96" t="s">
        <v>359</v>
      </c>
      <c r="C16" s="96" t="s">
        <v>156</v>
      </c>
      <c r="D16" s="97" t="s">
        <v>50</v>
      </c>
      <c r="E16" s="96" t="s">
        <v>19</v>
      </c>
      <c r="F16" s="96" t="s">
        <v>382</v>
      </c>
      <c r="G16" s="47" t="s">
        <v>21</v>
      </c>
      <c r="H16" s="52" t="str">
        <f>VLOOKUP(G16,ColorTable[],2,FALSE)</f>
        <v>113</v>
      </c>
      <c r="I16" s="52" t="str">
        <f>VLOOKUP(G16,ColorTable[],3,FALSE)</f>
        <v>171</v>
      </c>
      <c r="J16" s="52" t="str">
        <f>VLOOKUP(G16,ColorTable[],4,FALSE)</f>
        <v>26</v>
      </c>
      <c r="K16" s="98"/>
      <c r="L16" s="47"/>
    </row>
    <row r="17" spans="1:12" x14ac:dyDescent="0.2">
      <c r="A17" s="46" t="s">
        <v>396</v>
      </c>
      <c r="B17" s="96" t="s">
        <v>360</v>
      </c>
      <c r="C17" s="96" t="s">
        <v>153</v>
      </c>
      <c r="D17" s="97" t="s">
        <v>228</v>
      </c>
      <c r="E17" s="96" t="s">
        <v>18</v>
      </c>
      <c r="F17" s="96" t="s">
        <v>383</v>
      </c>
      <c r="G17" s="47" t="s">
        <v>32</v>
      </c>
      <c r="H17" s="52" t="str">
        <f>VLOOKUP(G17,ColorTable[],2,FALSE)</f>
        <v>192</v>
      </c>
      <c r="I17" s="52" t="str">
        <f>VLOOKUP(G17,ColorTable[],3,FALSE)</f>
        <v>192</v>
      </c>
      <c r="J17" s="52" t="str">
        <f>VLOOKUP(G17,ColorTable[],4,FALSE)</f>
        <v>192</v>
      </c>
      <c r="K17" s="98"/>
      <c r="L17" s="47"/>
    </row>
    <row r="18" spans="1:12" x14ac:dyDescent="0.2">
      <c r="A18" s="46" t="s">
        <v>396</v>
      </c>
      <c r="B18" s="96" t="s">
        <v>360</v>
      </c>
      <c r="C18" s="96" t="s">
        <v>332</v>
      </c>
      <c r="D18" s="97" t="s">
        <v>114</v>
      </c>
      <c r="E18" s="96" t="s">
        <v>19</v>
      </c>
      <c r="F18" s="96" t="s">
        <v>383</v>
      </c>
      <c r="G18" s="47" t="s">
        <v>158</v>
      </c>
      <c r="H18" s="52" t="str">
        <f>VLOOKUP(G18,ColorTable[],2,FALSE)</f>
        <v>0</v>
      </c>
      <c r="I18" s="52" t="str">
        <f>VLOOKUP(G18,ColorTable[],3,FALSE)</f>
        <v>116</v>
      </c>
      <c r="J18" s="52" t="str">
        <f>VLOOKUP(G18,ColorTable[],4,FALSE)</f>
        <v>161</v>
      </c>
      <c r="K18" s="98"/>
      <c r="L18" s="47"/>
    </row>
    <row r="19" spans="1:12" x14ac:dyDescent="0.2">
      <c r="A19" s="46" t="s">
        <v>396</v>
      </c>
      <c r="B19" s="96" t="s">
        <v>360</v>
      </c>
      <c r="C19" s="96" t="s">
        <v>154</v>
      </c>
      <c r="D19" s="97" t="s">
        <v>51</v>
      </c>
      <c r="E19" s="96" t="s">
        <v>19</v>
      </c>
      <c r="F19" s="96" t="s">
        <v>383</v>
      </c>
      <c r="G19" s="47" t="s">
        <v>36</v>
      </c>
      <c r="H19" s="52" t="str">
        <f>VLOOKUP(G19,ColorTable[],2,FALSE)</f>
        <v>184</v>
      </c>
      <c r="I19" s="52" t="str">
        <f>VLOOKUP(G19,ColorTable[],3,FALSE)</f>
        <v>210</v>
      </c>
      <c r="J19" s="52" t="str">
        <f>VLOOKUP(G19,ColorTable[],4,FALSE)</f>
        <v>100</v>
      </c>
      <c r="K19" s="98"/>
      <c r="L19" s="47"/>
    </row>
    <row r="20" spans="1:12" x14ac:dyDescent="0.2">
      <c r="A20" s="46" t="s">
        <v>396</v>
      </c>
      <c r="B20" s="96" t="s">
        <v>360</v>
      </c>
      <c r="C20" s="96" t="s">
        <v>155</v>
      </c>
      <c r="D20" s="97" t="s">
        <v>159</v>
      </c>
      <c r="E20" s="96" t="s">
        <v>19</v>
      </c>
      <c r="F20" s="96" t="s">
        <v>383</v>
      </c>
      <c r="G20" s="47" t="s">
        <v>21</v>
      </c>
      <c r="H20" s="52" t="str">
        <f>VLOOKUP(G20,ColorTable[],2,FALSE)</f>
        <v>113</v>
      </c>
      <c r="I20" s="52" t="str">
        <f>VLOOKUP(G20,ColorTable[],3,FALSE)</f>
        <v>171</v>
      </c>
      <c r="J20" s="52" t="str">
        <f>VLOOKUP(G20,ColorTable[],4,FALSE)</f>
        <v>26</v>
      </c>
      <c r="K20" s="98"/>
      <c r="L20" s="47"/>
    </row>
    <row r="21" spans="1:12" x14ac:dyDescent="0.2">
      <c r="A21" s="46" t="s">
        <v>396</v>
      </c>
      <c r="B21" s="96" t="s">
        <v>360</v>
      </c>
      <c r="C21" s="96" t="s">
        <v>156</v>
      </c>
      <c r="D21" s="97" t="s">
        <v>160</v>
      </c>
      <c r="E21" s="96" t="s">
        <v>19</v>
      </c>
      <c r="F21" s="96" t="s">
        <v>383</v>
      </c>
      <c r="G21" s="47" t="s">
        <v>21</v>
      </c>
      <c r="H21" s="52" t="str">
        <f>VLOOKUP(G21,ColorTable[],2,FALSE)</f>
        <v>113</v>
      </c>
      <c r="I21" s="52" t="str">
        <f>VLOOKUP(G21,ColorTable[],3,FALSE)</f>
        <v>171</v>
      </c>
      <c r="J21" s="52" t="str">
        <f>VLOOKUP(G21,ColorTable[],4,FALSE)</f>
        <v>26</v>
      </c>
      <c r="K21" s="98"/>
      <c r="L21" s="47"/>
    </row>
    <row r="22" spans="1:12" x14ac:dyDescent="0.2">
      <c r="A22" s="46" t="s">
        <v>396</v>
      </c>
      <c r="B22" s="96" t="s">
        <v>364</v>
      </c>
      <c r="C22" s="96" t="s">
        <v>153</v>
      </c>
      <c r="D22" s="97" t="s">
        <v>229</v>
      </c>
      <c r="E22" s="96" t="s">
        <v>18</v>
      </c>
      <c r="F22" s="96" t="s">
        <v>387</v>
      </c>
      <c r="G22" s="47" t="s">
        <v>32</v>
      </c>
      <c r="H22" s="52" t="str">
        <f>VLOOKUP(G22,ColorTable[],2,FALSE)</f>
        <v>192</v>
      </c>
      <c r="I22" s="52" t="str">
        <f>VLOOKUP(G22,ColorTable[],3,FALSE)</f>
        <v>192</v>
      </c>
      <c r="J22" s="52" t="str">
        <f>VLOOKUP(G22,ColorTable[],4,FALSE)</f>
        <v>192</v>
      </c>
      <c r="K22" s="98"/>
      <c r="L22" s="47"/>
    </row>
    <row r="23" spans="1:12" x14ac:dyDescent="0.2">
      <c r="A23" s="46" t="s">
        <v>396</v>
      </c>
      <c r="B23" s="96" t="s">
        <v>364</v>
      </c>
      <c r="C23" s="96" t="s">
        <v>332</v>
      </c>
      <c r="D23" s="97" t="s">
        <v>121</v>
      </c>
      <c r="E23" s="96" t="s">
        <v>19</v>
      </c>
      <c r="F23" s="96" t="s">
        <v>387</v>
      </c>
      <c r="G23" s="47" t="s">
        <v>158</v>
      </c>
      <c r="H23" s="52" t="str">
        <f>VLOOKUP(G23,ColorTable[],2,FALSE)</f>
        <v>0</v>
      </c>
      <c r="I23" s="52" t="str">
        <f>VLOOKUP(G23,ColorTable[],3,FALSE)</f>
        <v>116</v>
      </c>
      <c r="J23" s="52" t="str">
        <f>VLOOKUP(G23,ColorTable[],4,FALSE)</f>
        <v>161</v>
      </c>
      <c r="K23" s="98"/>
      <c r="L23" s="47"/>
    </row>
    <row r="24" spans="1:12" x14ac:dyDescent="0.2">
      <c r="A24" s="46" t="s">
        <v>396</v>
      </c>
      <c r="B24" s="96" t="s">
        <v>364</v>
      </c>
      <c r="C24" s="96" t="s">
        <v>154</v>
      </c>
      <c r="D24" s="97" t="s">
        <v>53</v>
      </c>
      <c r="E24" s="96" t="s">
        <v>19</v>
      </c>
      <c r="F24" s="96" t="s">
        <v>387</v>
      </c>
      <c r="G24" s="47" t="s">
        <v>36</v>
      </c>
      <c r="H24" s="52" t="str">
        <f>VLOOKUP(G24,ColorTable[],2,FALSE)</f>
        <v>184</v>
      </c>
      <c r="I24" s="52" t="str">
        <f>VLOOKUP(G24,ColorTable[],3,FALSE)</f>
        <v>210</v>
      </c>
      <c r="J24" s="52" t="str">
        <f>VLOOKUP(G24,ColorTable[],4,FALSE)</f>
        <v>100</v>
      </c>
      <c r="K24" s="98"/>
      <c r="L24" s="47"/>
    </row>
    <row r="25" spans="1:12" x14ac:dyDescent="0.2">
      <c r="A25" s="46" t="s">
        <v>396</v>
      </c>
      <c r="B25" s="96" t="s">
        <v>364</v>
      </c>
      <c r="C25" s="96" t="s">
        <v>155</v>
      </c>
      <c r="D25" s="97" t="s">
        <v>54</v>
      </c>
      <c r="E25" s="96" t="s">
        <v>19</v>
      </c>
      <c r="F25" s="96" t="s">
        <v>387</v>
      </c>
      <c r="G25" s="47" t="s">
        <v>21</v>
      </c>
      <c r="H25" s="52" t="str">
        <f>VLOOKUP(G25,ColorTable[],2,FALSE)</f>
        <v>113</v>
      </c>
      <c r="I25" s="52" t="str">
        <f>VLOOKUP(G25,ColorTable[],3,FALSE)</f>
        <v>171</v>
      </c>
      <c r="J25" s="52" t="str">
        <f>VLOOKUP(G25,ColorTable[],4,FALSE)</f>
        <v>26</v>
      </c>
      <c r="K25" s="98"/>
      <c r="L25" s="47"/>
    </row>
    <row r="26" spans="1:12" x14ac:dyDescent="0.2">
      <c r="A26" s="46" t="s">
        <v>396</v>
      </c>
      <c r="B26" s="96" t="s">
        <v>364</v>
      </c>
      <c r="C26" s="96" t="s">
        <v>156</v>
      </c>
      <c r="D26" s="97" t="s">
        <v>52</v>
      </c>
      <c r="E26" s="96" t="s">
        <v>19</v>
      </c>
      <c r="F26" s="96" t="s">
        <v>387</v>
      </c>
      <c r="G26" s="47" t="s">
        <v>21</v>
      </c>
      <c r="H26" s="52" t="str">
        <f>VLOOKUP(G26,ColorTable[],2,FALSE)</f>
        <v>113</v>
      </c>
      <c r="I26" s="52" t="str">
        <f>VLOOKUP(G26,ColorTable[],3,FALSE)</f>
        <v>171</v>
      </c>
      <c r="J26" s="52" t="str">
        <f>VLOOKUP(G26,ColorTable[],4,FALSE)</f>
        <v>26</v>
      </c>
      <c r="K26" s="98"/>
      <c r="L26" s="47"/>
    </row>
    <row r="27" spans="1:12" x14ac:dyDescent="0.2">
      <c r="A27" s="46" t="s">
        <v>396</v>
      </c>
      <c r="B27" s="96" t="s">
        <v>348</v>
      </c>
      <c r="C27" s="96" t="s">
        <v>153</v>
      </c>
      <c r="D27" s="97" t="s">
        <v>230</v>
      </c>
      <c r="E27" s="96" t="s">
        <v>18</v>
      </c>
      <c r="F27" s="96" t="s">
        <v>373</v>
      </c>
      <c r="G27" s="47" t="s">
        <v>32</v>
      </c>
      <c r="H27" s="52" t="str">
        <f>VLOOKUP(G27,ColorTable[],2,FALSE)</f>
        <v>192</v>
      </c>
      <c r="I27" s="52" t="str">
        <f>VLOOKUP(G27,ColorTable[],3,FALSE)</f>
        <v>192</v>
      </c>
      <c r="J27" s="52" t="str">
        <f>VLOOKUP(G27,ColorTable[],4,FALSE)</f>
        <v>192</v>
      </c>
      <c r="K27" s="98"/>
      <c r="L27" s="47"/>
    </row>
    <row r="28" spans="1:12" x14ac:dyDescent="0.2">
      <c r="A28" s="46" t="s">
        <v>396</v>
      </c>
      <c r="B28" s="96" t="s">
        <v>348</v>
      </c>
      <c r="C28" s="96" t="s">
        <v>332</v>
      </c>
      <c r="D28" s="97" t="s">
        <v>122</v>
      </c>
      <c r="E28" s="96" t="s">
        <v>19</v>
      </c>
      <c r="F28" s="96" t="s">
        <v>373</v>
      </c>
      <c r="G28" s="47" t="s">
        <v>158</v>
      </c>
      <c r="H28" s="52" t="str">
        <f>VLOOKUP(G28,ColorTable[],2,FALSE)</f>
        <v>0</v>
      </c>
      <c r="I28" s="52" t="str">
        <f>VLOOKUP(G28,ColorTable[],3,FALSE)</f>
        <v>116</v>
      </c>
      <c r="J28" s="52" t="str">
        <f>VLOOKUP(G28,ColorTable[],4,FALSE)</f>
        <v>161</v>
      </c>
      <c r="K28" s="98"/>
      <c r="L28" s="47"/>
    </row>
    <row r="29" spans="1:12" x14ac:dyDescent="0.2">
      <c r="A29" s="46" t="s">
        <v>396</v>
      </c>
      <c r="B29" s="96" t="s">
        <v>348</v>
      </c>
      <c r="C29" s="96" t="s">
        <v>154</v>
      </c>
      <c r="D29" s="97" t="s">
        <v>55</v>
      </c>
      <c r="E29" s="96" t="s">
        <v>19</v>
      </c>
      <c r="F29" s="96" t="s">
        <v>373</v>
      </c>
      <c r="G29" s="47" t="s">
        <v>36</v>
      </c>
      <c r="H29" s="52" t="str">
        <f>VLOOKUP(G29,ColorTable[],2,FALSE)</f>
        <v>184</v>
      </c>
      <c r="I29" s="52" t="str">
        <f>VLOOKUP(G29,ColorTable[],3,FALSE)</f>
        <v>210</v>
      </c>
      <c r="J29" s="52" t="str">
        <f>VLOOKUP(G29,ColorTable[],4,FALSE)</f>
        <v>100</v>
      </c>
      <c r="K29" s="98"/>
      <c r="L29" s="47"/>
    </row>
    <row r="30" spans="1:12" x14ac:dyDescent="0.2">
      <c r="A30" s="46" t="s">
        <v>396</v>
      </c>
      <c r="B30" s="96" t="s">
        <v>348</v>
      </c>
      <c r="C30" s="96" t="s">
        <v>155</v>
      </c>
      <c r="D30" s="97" t="s">
        <v>56</v>
      </c>
      <c r="E30" s="96" t="s">
        <v>19</v>
      </c>
      <c r="F30" s="96" t="s">
        <v>373</v>
      </c>
      <c r="G30" s="47" t="s">
        <v>21</v>
      </c>
      <c r="H30" s="52" t="str">
        <f>VLOOKUP(G30,ColorTable[],2,FALSE)</f>
        <v>113</v>
      </c>
      <c r="I30" s="52" t="str">
        <f>VLOOKUP(G30,ColorTable[],3,FALSE)</f>
        <v>171</v>
      </c>
      <c r="J30" s="52" t="str">
        <f>VLOOKUP(G30,ColorTable[],4,FALSE)</f>
        <v>26</v>
      </c>
      <c r="K30" s="98"/>
      <c r="L30" s="47"/>
    </row>
    <row r="31" spans="1:12" x14ac:dyDescent="0.2">
      <c r="A31" s="46" t="s">
        <v>396</v>
      </c>
      <c r="B31" s="96" t="s">
        <v>348</v>
      </c>
      <c r="C31" s="96" t="s">
        <v>156</v>
      </c>
      <c r="D31" s="97" t="s">
        <v>57</v>
      </c>
      <c r="E31" s="96" t="s">
        <v>19</v>
      </c>
      <c r="F31" s="96" t="s">
        <v>373</v>
      </c>
      <c r="G31" s="47" t="s">
        <v>21</v>
      </c>
      <c r="H31" s="52" t="str">
        <f>VLOOKUP(G31,ColorTable[],2,FALSE)</f>
        <v>113</v>
      </c>
      <c r="I31" s="52" t="str">
        <f>VLOOKUP(G31,ColorTable[],3,FALSE)</f>
        <v>171</v>
      </c>
      <c r="J31" s="52" t="str">
        <f>VLOOKUP(G31,ColorTable[],4,FALSE)</f>
        <v>26</v>
      </c>
      <c r="K31" s="98"/>
      <c r="L31" s="47"/>
    </row>
    <row r="32" spans="1:12" x14ac:dyDescent="0.2">
      <c r="A32" s="46" t="s">
        <v>396</v>
      </c>
      <c r="B32" s="96" t="s">
        <v>349</v>
      </c>
      <c r="C32" s="96" t="s">
        <v>153</v>
      </c>
      <c r="D32" s="97" t="s">
        <v>231</v>
      </c>
      <c r="E32" s="96" t="s">
        <v>18</v>
      </c>
      <c r="F32" s="96" t="s">
        <v>374</v>
      </c>
      <c r="G32" s="47" t="s">
        <v>32</v>
      </c>
      <c r="H32" s="52" t="str">
        <f>VLOOKUP(G32,ColorTable[],2,FALSE)</f>
        <v>192</v>
      </c>
      <c r="I32" s="52" t="str">
        <f>VLOOKUP(G32,ColorTable[],3,FALSE)</f>
        <v>192</v>
      </c>
      <c r="J32" s="52" t="str">
        <f>VLOOKUP(G32,ColorTable[],4,FALSE)</f>
        <v>192</v>
      </c>
      <c r="K32" s="98"/>
      <c r="L32" s="47"/>
    </row>
    <row r="33" spans="1:12" x14ac:dyDescent="0.2">
      <c r="A33" s="46" t="s">
        <v>396</v>
      </c>
      <c r="B33" s="96" t="s">
        <v>349</v>
      </c>
      <c r="C33" s="96" t="s">
        <v>332</v>
      </c>
      <c r="D33" s="97" t="s">
        <v>123</v>
      </c>
      <c r="E33" s="96" t="s">
        <v>19</v>
      </c>
      <c r="F33" s="96" t="s">
        <v>374</v>
      </c>
      <c r="G33" s="47" t="s">
        <v>158</v>
      </c>
      <c r="H33" s="52" t="str">
        <f>VLOOKUP(G33,ColorTable[],2,FALSE)</f>
        <v>0</v>
      </c>
      <c r="I33" s="52" t="str">
        <f>VLOOKUP(G33,ColorTable[],3,FALSE)</f>
        <v>116</v>
      </c>
      <c r="J33" s="52" t="str">
        <f>VLOOKUP(G33,ColorTable[],4,FALSE)</f>
        <v>161</v>
      </c>
      <c r="K33" s="98"/>
      <c r="L33" s="47"/>
    </row>
    <row r="34" spans="1:12" x14ac:dyDescent="0.2">
      <c r="A34" s="46" t="s">
        <v>396</v>
      </c>
      <c r="B34" s="96" t="s">
        <v>349</v>
      </c>
      <c r="C34" s="96" t="s">
        <v>154</v>
      </c>
      <c r="D34" s="97" t="s">
        <v>58</v>
      </c>
      <c r="E34" s="96" t="s">
        <v>19</v>
      </c>
      <c r="F34" s="96" t="s">
        <v>374</v>
      </c>
      <c r="G34" s="47" t="s">
        <v>36</v>
      </c>
      <c r="H34" s="52" t="str">
        <f>VLOOKUP(G34,ColorTable[],2,FALSE)</f>
        <v>184</v>
      </c>
      <c r="I34" s="52" t="str">
        <f>VLOOKUP(G34,ColorTable[],3,FALSE)</f>
        <v>210</v>
      </c>
      <c r="J34" s="52" t="str">
        <f>VLOOKUP(G34,ColorTable[],4,FALSE)</f>
        <v>100</v>
      </c>
      <c r="K34" s="98"/>
      <c r="L34" s="47"/>
    </row>
    <row r="35" spans="1:12" x14ac:dyDescent="0.2">
      <c r="A35" s="46" t="s">
        <v>396</v>
      </c>
      <c r="B35" s="96" t="s">
        <v>349</v>
      </c>
      <c r="C35" s="96" t="s">
        <v>155</v>
      </c>
      <c r="D35" s="97" t="s">
        <v>59</v>
      </c>
      <c r="E35" s="96" t="s">
        <v>19</v>
      </c>
      <c r="F35" s="96" t="s">
        <v>374</v>
      </c>
      <c r="G35" s="47" t="s">
        <v>21</v>
      </c>
      <c r="H35" s="52" t="str">
        <f>VLOOKUP(G35,ColorTable[],2,FALSE)</f>
        <v>113</v>
      </c>
      <c r="I35" s="52" t="str">
        <f>VLOOKUP(G35,ColorTable[],3,FALSE)</f>
        <v>171</v>
      </c>
      <c r="J35" s="52" t="str">
        <f>VLOOKUP(G35,ColorTable[],4,FALSE)</f>
        <v>26</v>
      </c>
      <c r="K35" s="98"/>
      <c r="L35" s="47"/>
    </row>
    <row r="36" spans="1:12" x14ac:dyDescent="0.2">
      <c r="A36" s="46" t="s">
        <v>396</v>
      </c>
      <c r="B36" s="96" t="s">
        <v>349</v>
      </c>
      <c r="C36" s="96" t="s">
        <v>156</v>
      </c>
      <c r="D36" s="97" t="s">
        <v>60</v>
      </c>
      <c r="E36" s="96" t="s">
        <v>19</v>
      </c>
      <c r="F36" s="96" t="s">
        <v>374</v>
      </c>
      <c r="G36" s="47" t="s">
        <v>21</v>
      </c>
      <c r="H36" s="52" t="str">
        <f>VLOOKUP(G36,ColorTable[],2,FALSE)</f>
        <v>113</v>
      </c>
      <c r="I36" s="52" t="str">
        <f>VLOOKUP(G36,ColorTable[],3,FALSE)</f>
        <v>171</v>
      </c>
      <c r="J36" s="52" t="str">
        <f>VLOOKUP(G36,ColorTable[],4,FALSE)</f>
        <v>26</v>
      </c>
      <c r="K36" s="98"/>
      <c r="L36" s="47"/>
    </row>
    <row r="37" spans="1:12" x14ac:dyDescent="0.2">
      <c r="A37" s="46" t="s">
        <v>396</v>
      </c>
      <c r="B37" s="96" t="s">
        <v>350</v>
      </c>
      <c r="C37" s="96" t="s">
        <v>153</v>
      </c>
      <c r="D37" s="97" t="s">
        <v>232</v>
      </c>
      <c r="E37" s="96" t="s">
        <v>18</v>
      </c>
      <c r="F37" s="96" t="s">
        <v>375</v>
      </c>
      <c r="G37" s="47" t="s">
        <v>32</v>
      </c>
      <c r="H37" s="52" t="str">
        <f>VLOOKUP(G37,ColorTable[],2,FALSE)</f>
        <v>192</v>
      </c>
      <c r="I37" s="52" t="str">
        <f>VLOOKUP(G37,ColorTable[],3,FALSE)</f>
        <v>192</v>
      </c>
      <c r="J37" s="52" t="str">
        <f>VLOOKUP(G37,ColorTable[],4,FALSE)</f>
        <v>192</v>
      </c>
      <c r="K37" s="98"/>
      <c r="L37" s="47"/>
    </row>
    <row r="38" spans="1:12" x14ac:dyDescent="0.2">
      <c r="A38" s="46" t="s">
        <v>396</v>
      </c>
      <c r="B38" s="96" t="s">
        <v>350</v>
      </c>
      <c r="C38" s="96" t="s">
        <v>332</v>
      </c>
      <c r="D38" s="97" t="s">
        <v>124</v>
      </c>
      <c r="E38" s="96" t="s">
        <v>19</v>
      </c>
      <c r="F38" s="96" t="s">
        <v>375</v>
      </c>
      <c r="G38" s="47" t="s">
        <v>158</v>
      </c>
      <c r="H38" s="52" t="str">
        <f>VLOOKUP(G38,ColorTable[],2,FALSE)</f>
        <v>0</v>
      </c>
      <c r="I38" s="52" t="str">
        <f>VLOOKUP(G38,ColorTable[],3,FALSE)</f>
        <v>116</v>
      </c>
      <c r="J38" s="52" t="str">
        <f>VLOOKUP(G38,ColorTable[],4,FALSE)</f>
        <v>161</v>
      </c>
      <c r="K38" s="98"/>
      <c r="L38" s="47"/>
    </row>
    <row r="39" spans="1:12" x14ac:dyDescent="0.2">
      <c r="A39" s="46" t="s">
        <v>396</v>
      </c>
      <c r="B39" s="96" t="s">
        <v>350</v>
      </c>
      <c r="C39" s="96" t="s">
        <v>154</v>
      </c>
      <c r="D39" s="97" t="s">
        <v>61</v>
      </c>
      <c r="E39" s="96" t="s">
        <v>19</v>
      </c>
      <c r="F39" s="96" t="s">
        <v>375</v>
      </c>
      <c r="G39" s="47" t="s">
        <v>36</v>
      </c>
      <c r="H39" s="52" t="str">
        <f>VLOOKUP(G39,ColorTable[],2,FALSE)</f>
        <v>184</v>
      </c>
      <c r="I39" s="52" t="str">
        <f>VLOOKUP(G39,ColorTable[],3,FALSE)</f>
        <v>210</v>
      </c>
      <c r="J39" s="52" t="str">
        <f>VLOOKUP(G39,ColorTable[],4,FALSE)</f>
        <v>100</v>
      </c>
      <c r="K39" s="98"/>
      <c r="L39" s="47"/>
    </row>
    <row r="40" spans="1:12" x14ac:dyDescent="0.2">
      <c r="A40" s="46" t="s">
        <v>396</v>
      </c>
      <c r="B40" s="96" t="s">
        <v>350</v>
      </c>
      <c r="C40" s="96" t="s">
        <v>155</v>
      </c>
      <c r="D40" s="97" t="s">
        <v>62</v>
      </c>
      <c r="E40" s="96" t="s">
        <v>19</v>
      </c>
      <c r="F40" s="96" t="s">
        <v>375</v>
      </c>
      <c r="G40" s="47" t="s">
        <v>21</v>
      </c>
      <c r="H40" s="52" t="str">
        <f>VLOOKUP(G40,ColorTable[],2,FALSE)</f>
        <v>113</v>
      </c>
      <c r="I40" s="52" t="str">
        <f>VLOOKUP(G40,ColorTable[],3,FALSE)</f>
        <v>171</v>
      </c>
      <c r="J40" s="52" t="str">
        <f>VLOOKUP(G40,ColorTable[],4,FALSE)</f>
        <v>26</v>
      </c>
      <c r="K40" s="98"/>
      <c r="L40" s="47"/>
    </row>
    <row r="41" spans="1:12" x14ac:dyDescent="0.2">
      <c r="A41" s="46" t="s">
        <v>396</v>
      </c>
      <c r="B41" s="96" t="s">
        <v>350</v>
      </c>
      <c r="C41" s="96" t="s">
        <v>156</v>
      </c>
      <c r="D41" s="97" t="s">
        <v>63</v>
      </c>
      <c r="E41" s="96" t="s">
        <v>19</v>
      </c>
      <c r="F41" s="96" t="s">
        <v>375</v>
      </c>
      <c r="G41" s="47" t="s">
        <v>21</v>
      </c>
      <c r="H41" s="52" t="str">
        <f>VLOOKUP(G41,ColorTable[],2,FALSE)</f>
        <v>113</v>
      </c>
      <c r="I41" s="52" t="str">
        <f>VLOOKUP(G41,ColorTable[],3,FALSE)</f>
        <v>171</v>
      </c>
      <c r="J41" s="52" t="str">
        <f>VLOOKUP(G41,ColorTable[],4,FALSE)</f>
        <v>26</v>
      </c>
      <c r="K41" s="98"/>
      <c r="L41" s="47"/>
    </row>
    <row r="42" spans="1:12" x14ac:dyDescent="0.2">
      <c r="A42" s="46" t="s">
        <v>396</v>
      </c>
      <c r="B42" s="96" t="s">
        <v>351</v>
      </c>
      <c r="C42" s="96" t="s">
        <v>153</v>
      </c>
      <c r="D42" s="97" t="s">
        <v>233</v>
      </c>
      <c r="E42" s="96" t="s">
        <v>18</v>
      </c>
      <c r="F42" s="96" t="s">
        <v>376</v>
      </c>
      <c r="G42" s="47" t="s">
        <v>32</v>
      </c>
      <c r="H42" s="52" t="str">
        <f>VLOOKUP(G42,ColorTable[],2,FALSE)</f>
        <v>192</v>
      </c>
      <c r="I42" s="52" t="str">
        <f>VLOOKUP(G42,ColorTable[],3,FALSE)</f>
        <v>192</v>
      </c>
      <c r="J42" s="52" t="str">
        <f>VLOOKUP(G42,ColorTable[],4,FALSE)</f>
        <v>192</v>
      </c>
      <c r="K42" s="98"/>
      <c r="L42" s="47"/>
    </row>
    <row r="43" spans="1:12" x14ac:dyDescent="0.2">
      <c r="A43" s="46" t="s">
        <v>396</v>
      </c>
      <c r="B43" s="96" t="s">
        <v>351</v>
      </c>
      <c r="C43" s="96" t="s">
        <v>332</v>
      </c>
      <c r="D43" s="97" t="s">
        <v>142</v>
      </c>
      <c r="E43" s="96" t="s">
        <v>19</v>
      </c>
      <c r="F43" s="96" t="s">
        <v>376</v>
      </c>
      <c r="G43" s="47" t="s">
        <v>158</v>
      </c>
      <c r="H43" s="52" t="str">
        <f>VLOOKUP(G43,ColorTable[],2,FALSE)</f>
        <v>0</v>
      </c>
      <c r="I43" s="52" t="str">
        <f>VLOOKUP(G43,ColorTable[],3,FALSE)</f>
        <v>116</v>
      </c>
      <c r="J43" s="52" t="str">
        <f>VLOOKUP(G43,ColorTable[],4,FALSE)</f>
        <v>161</v>
      </c>
      <c r="K43" s="98"/>
      <c r="L43" s="47"/>
    </row>
    <row r="44" spans="1:12" x14ac:dyDescent="0.2">
      <c r="A44" s="46" t="s">
        <v>396</v>
      </c>
      <c r="B44" s="96" t="s">
        <v>351</v>
      </c>
      <c r="C44" s="96" t="s">
        <v>154</v>
      </c>
      <c r="D44" s="97" t="s">
        <v>139</v>
      </c>
      <c r="E44" s="96" t="s">
        <v>19</v>
      </c>
      <c r="F44" s="96" t="s">
        <v>376</v>
      </c>
      <c r="G44" s="47" t="s">
        <v>36</v>
      </c>
      <c r="H44" s="52" t="str">
        <f>VLOOKUP(G44,ColorTable[],2,FALSE)</f>
        <v>184</v>
      </c>
      <c r="I44" s="52" t="str">
        <f>VLOOKUP(G44,ColorTable[],3,FALSE)</f>
        <v>210</v>
      </c>
      <c r="J44" s="52" t="str">
        <f>VLOOKUP(G44,ColorTable[],4,FALSE)</f>
        <v>100</v>
      </c>
      <c r="K44" s="98"/>
      <c r="L44" s="47"/>
    </row>
    <row r="45" spans="1:12" x14ac:dyDescent="0.2">
      <c r="A45" s="46" t="s">
        <v>396</v>
      </c>
      <c r="B45" s="96" t="s">
        <v>351</v>
      </c>
      <c r="C45" s="96" t="s">
        <v>155</v>
      </c>
      <c r="D45" s="97" t="s">
        <v>140</v>
      </c>
      <c r="E45" s="96" t="s">
        <v>19</v>
      </c>
      <c r="F45" s="96" t="s">
        <v>376</v>
      </c>
      <c r="G45" s="47" t="s">
        <v>21</v>
      </c>
      <c r="H45" s="52" t="str">
        <f>VLOOKUP(G45,ColorTable[],2,FALSE)</f>
        <v>113</v>
      </c>
      <c r="I45" s="52" t="str">
        <f>VLOOKUP(G45,ColorTable[],3,FALSE)</f>
        <v>171</v>
      </c>
      <c r="J45" s="52" t="str">
        <f>VLOOKUP(G45,ColorTable[],4,FALSE)</f>
        <v>26</v>
      </c>
      <c r="K45" s="98"/>
      <c r="L45" s="47"/>
    </row>
    <row r="46" spans="1:12" x14ac:dyDescent="0.2">
      <c r="A46" s="46" t="s">
        <v>396</v>
      </c>
      <c r="B46" s="96" t="s">
        <v>351</v>
      </c>
      <c r="C46" s="96" t="s">
        <v>156</v>
      </c>
      <c r="D46" s="97" t="s">
        <v>141</v>
      </c>
      <c r="E46" s="96" t="s">
        <v>19</v>
      </c>
      <c r="F46" s="96" t="s">
        <v>376</v>
      </c>
      <c r="G46" s="47" t="s">
        <v>21</v>
      </c>
      <c r="H46" s="52" t="str">
        <f>VLOOKUP(G46,ColorTable[],2,FALSE)</f>
        <v>113</v>
      </c>
      <c r="I46" s="52" t="str">
        <f>VLOOKUP(G46,ColorTable[],3,FALSE)</f>
        <v>171</v>
      </c>
      <c r="J46" s="52" t="str">
        <f>VLOOKUP(G46,ColorTable[],4,FALSE)</f>
        <v>26</v>
      </c>
      <c r="K46" s="98"/>
      <c r="L46" s="47"/>
    </row>
    <row r="47" spans="1:12" x14ac:dyDescent="0.2">
      <c r="A47" s="46" t="s">
        <v>396</v>
      </c>
      <c r="B47" s="96" t="s">
        <v>352</v>
      </c>
      <c r="C47" s="96" t="s">
        <v>153</v>
      </c>
      <c r="D47" s="97" t="s">
        <v>234</v>
      </c>
      <c r="E47" s="96" t="s">
        <v>18</v>
      </c>
      <c r="F47" s="96" t="s">
        <v>377</v>
      </c>
      <c r="G47" s="47" t="s">
        <v>32</v>
      </c>
      <c r="H47" s="52" t="str">
        <f>VLOOKUP(G47,ColorTable[],2,FALSE)</f>
        <v>192</v>
      </c>
      <c r="I47" s="52" t="str">
        <f>VLOOKUP(G47,ColorTable[],3,FALSE)</f>
        <v>192</v>
      </c>
      <c r="J47" s="52" t="str">
        <f>VLOOKUP(G47,ColorTable[],4,FALSE)</f>
        <v>192</v>
      </c>
      <c r="K47" s="99">
        <v>43019.482071759259</v>
      </c>
      <c r="L47" s="47" t="s">
        <v>414</v>
      </c>
    </row>
    <row r="48" spans="1:12" x14ac:dyDescent="0.2">
      <c r="A48" s="46" t="s">
        <v>396</v>
      </c>
      <c r="B48" s="96" t="s">
        <v>352</v>
      </c>
      <c r="C48" s="96" t="s">
        <v>332</v>
      </c>
      <c r="D48" s="97" t="s">
        <v>161</v>
      </c>
      <c r="E48" s="96" t="s">
        <v>19</v>
      </c>
      <c r="F48" s="96" t="s">
        <v>377</v>
      </c>
      <c r="G48" s="47" t="s">
        <v>158</v>
      </c>
      <c r="H48" s="52" t="str">
        <f>VLOOKUP(G48,ColorTable[],2,FALSE)</f>
        <v>0</v>
      </c>
      <c r="I48" s="52" t="str">
        <f>VLOOKUP(G48,ColorTable[],3,FALSE)</f>
        <v>116</v>
      </c>
      <c r="J48" s="52" t="str">
        <f>VLOOKUP(G48,ColorTable[],4,FALSE)</f>
        <v>161</v>
      </c>
      <c r="K48" s="99">
        <v>43019.333680555559</v>
      </c>
      <c r="L48" s="47" t="s">
        <v>414</v>
      </c>
    </row>
    <row r="49" spans="1:12" x14ac:dyDescent="0.2">
      <c r="A49" s="46" t="s">
        <v>396</v>
      </c>
      <c r="B49" s="96" t="s">
        <v>352</v>
      </c>
      <c r="C49" s="96" t="s">
        <v>154</v>
      </c>
      <c r="D49" s="97" t="s">
        <v>162</v>
      </c>
      <c r="E49" s="96" t="s">
        <v>19</v>
      </c>
      <c r="F49" s="96" t="s">
        <v>377</v>
      </c>
      <c r="G49" s="47" t="s">
        <v>36</v>
      </c>
      <c r="H49" s="52" t="str">
        <f>VLOOKUP(G49,ColorTable[],2,FALSE)</f>
        <v>184</v>
      </c>
      <c r="I49" s="52" t="str">
        <f>VLOOKUP(G49,ColorTable[],3,FALSE)</f>
        <v>210</v>
      </c>
      <c r="J49" s="52" t="str">
        <f>VLOOKUP(G49,ColorTable[],4,FALSE)</f>
        <v>100</v>
      </c>
      <c r="K49" s="98"/>
      <c r="L49" s="47"/>
    </row>
    <row r="50" spans="1:12" x14ac:dyDescent="0.2">
      <c r="A50" s="46" t="s">
        <v>396</v>
      </c>
      <c r="B50" s="96" t="s">
        <v>352</v>
      </c>
      <c r="C50" s="96" t="s">
        <v>155</v>
      </c>
      <c r="D50" s="97" t="s">
        <v>163</v>
      </c>
      <c r="E50" s="96" t="s">
        <v>19</v>
      </c>
      <c r="F50" s="96" t="s">
        <v>377</v>
      </c>
      <c r="G50" s="47" t="s">
        <v>21</v>
      </c>
      <c r="H50" s="52" t="str">
        <f>VLOOKUP(G50,ColorTable[],2,FALSE)</f>
        <v>113</v>
      </c>
      <c r="I50" s="52" t="str">
        <f>VLOOKUP(G50,ColorTable[],3,FALSE)</f>
        <v>171</v>
      </c>
      <c r="J50" s="52" t="str">
        <f>VLOOKUP(G50,ColorTable[],4,FALSE)</f>
        <v>26</v>
      </c>
      <c r="K50" s="98"/>
      <c r="L50" s="47"/>
    </row>
    <row r="51" spans="1:12" x14ac:dyDescent="0.2">
      <c r="A51" s="46" t="s">
        <v>396</v>
      </c>
      <c r="B51" s="96" t="s">
        <v>352</v>
      </c>
      <c r="C51" s="96" t="s">
        <v>156</v>
      </c>
      <c r="D51" s="97" t="s">
        <v>164</v>
      </c>
      <c r="E51" s="96" t="s">
        <v>19</v>
      </c>
      <c r="F51" s="96" t="s">
        <v>377</v>
      </c>
      <c r="G51" s="47" t="s">
        <v>21</v>
      </c>
      <c r="H51" s="52" t="str">
        <f>VLOOKUP(G51,ColorTable[],2,FALSE)</f>
        <v>113</v>
      </c>
      <c r="I51" s="52" t="str">
        <f>VLOOKUP(G51,ColorTable[],3,FALSE)</f>
        <v>171</v>
      </c>
      <c r="J51" s="52" t="str">
        <f>VLOOKUP(G51,ColorTable[],4,FALSE)</f>
        <v>26</v>
      </c>
      <c r="K51" s="98"/>
      <c r="L51" s="47"/>
    </row>
    <row r="52" spans="1:12" x14ac:dyDescent="0.2">
      <c r="A52" s="46" t="s">
        <v>396</v>
      </c>
      <c r="B52" s="96" t="s">
        <v>353</v>
      </c>
      <c r="C52" s="96" t="s">
        <v>153</v>
      </c>
      <c r="D52" s="97" t="s">
        <v>235</v>
      </c>
      <c r="E52" s="96" t="s">
        <v>18</v>
      </c>
      <c r="F52" s="96" t="s">
        <v>378</v>
      </c>
      <c r="G52" s="47" t="s">
        <v>32</v>
      </c>
      <c r="H52" s="52" t="str">
        <f>VLOOKUP(G52,ColorTable[],2,FALSE)</f>
        <v>192</v>
      </c>
      <c r="I52" s="52" t="str">
        <f>VLOOKUP(G52,ColorTable[],3,FALSE)</f>
        <v>192</v>
      </c>
      <c r="J52" s="52" t="str">
        <f>VLOOKUP(G52,ColorTable[],4,FALSE)</f>
        <v>192</v>
      </c>
      <c r="K52" s="98"/>
      <c r="L52" s="47"/>
    </row>
    <row r="53" spans="1:12" x14ac:dyDescent="0.2">
      <c r="A53" s="46" t="s">
        <v>396</v>
      </c>
      <c r="B53" s="96" t="s">
        <v>353</v>
      </c>
      <c r="C53" s="96" t="s">
        <v>332</v>
      </c>
      <c r="D53" s="97" t="s">
        <v>165</v>
      </c>
      <c r="E53" s="96" t="s">
        <v>19</v>
      </c>
      <c r="F53" s="96" t="s">
        <v>378</v>
      </c>
      <c r="G53" s="47" t="s">
        <v>158</v>
      </c>
      <c r="H53" s="52" t="str">
        <f>VLOOKUP(G53,ColorTable[],2,FALSE)</f>
        <v>0</v>
      </c>
      <c r="I53" s="52" t="str">
        <f>VLOOKUP(G53,ColorTable[],3,FALSE)</f>
        <v>116</v>
      </c>
      <c r="J53" s="52" t="str">
        <f>VLOOKUP(G53,ColorTable[],4,FALSE)</f>
        <v>161</v>
      </c>
      <c r="K53" s="98"/>
      <c r="L53" s="47"/>
    </row>
    <row r="54" spans="1:12" x14ac:dyDescent="0.2">
      <c r="A54" s="46" t="s">
        <v>396</v>
      </c>
      <c r="B54" s="96" t="s">
        <v>353</v>
      </c>
      <c r="C54" s="96" t="s">
        <v>154</v>
      </c>
      <c r="D54" s="97" t="s">
        <v>166</v>
      </c>
      <c r="E54" s="96" t="s">
        <v>19</v>
      </c>
      <c r="F54" s="96" t="s">
        <v>378</v>
      </c>
      <c r="G54" s="47" t="s">
        <v>36</v>
      </c>
      <c r="H54" s="52" t="str">
        <f>VLOOKUP(G54,ColorTable[],2,FALSE)</f>
        <v>184</v>
      </c>
      <c r="I54" s="52" t="str">
        <f>VLOOKUP(G54,ColorTable[],3,FALSE)</f>
        <v>210</v>
      </c>
      <c r="J54" s="52" t="str">
        <f>VLOOKUP(G54,ColorTable[],4,FALSE)</f>
        <v>100</v>
      </c>
      <c r="K54" s="98"/>
      <c r="L54" s="47"/>
    </row>
    <row r="55" spans="1:12" x14ac:dyDescent="0.2">
      <c r="A55" s="46" t="s">
        <v>396</v>
      </c>
      <c r="B55" s="96" t="s">
        <v>353</v>
      </c>
      <c r="C55" s="96" t="s">
        <v>155</v>
      </c>
      <c r="D55" s="97" t="s">
        <v>167</v>
      </c>
      <c r="E55" s="96" t="s">
        <v>19</v>
      </c>
      <c r="F55" s="96" t="s">
        <v>378</v>
      </c>
      <c r="G55" s="47" t="s">
        <v>21</v>
      </c>
      <c r="H55" s="52" t="str">
        <f>VLOOKUP(G55,ColorTable[],2,FALSE)</f>
        <v>113</v>
      </c>
      <c r="I55" s="52" t="str">
        <f>VLOOKUP(G55,ColorTable[],3,FALSE)</f>
        <v>171</v>
      </c>
      <c r="J55" s="52" t="str">
        <f>VLOOKUP(G55,ColorTable[],4,FALSE)</f>
        <v>26</v>
      </c>
      <c r="K55" s="98"/>
      <c r="L55" s="47"/>
    </row>
    <row r="56" spans="1:12" x14ac:dyDescent="0.2">
      <c r="A56" s="46" t="s">
        <v>396</v>
      </c>
      <c r="B56" s="96" t="s">
        <v>353</v>
      </c>
      <c r="C56" s="96" t="s">
        <v>156</v>
      </c>
      <c r="D56" s="97" t="s">
        <v>168</v>
      </c>
      <c r="E56" s="96" t="s">
        <v>19</v>
      </c>
      <c r="F56" s="96" t="s">
        <v>378</v>
      </c>
      <c r="G56" s="47" t="s">
        <v>21</v>
      </c>
      <c r="H56" s="52" t="str">
        <f>VLOOKUP(G56,ColorTable[],2,FALSE)</f>
        <v>113</v>
      </c>
      <c r="I56" s="52" t="str">
        <f>VLOOKUP(G56,ColorTable[],3,FALSE)</f>
        <v>171</v>
      </c>
      <c r="J56" s="52" t="str">
        <f>VLOOKUP(G56,ColorTable[],4,FALSE)</f>
        <v>26</v>
      </c>
      <c r="K56" s="98"/>
      <c r="L56" s="47"/>
    </row>
    <row r="57" spans="1:12" x14ac:dyDescent="0.2">
      <c r="A57" s="46" t="s">
        <v>396</v>
      </c>
      <c r="B57" s="96" t="s">
        <v>354</v>
      </c>
      <c r="C57" s="96" t="s">
        <v>153</v>
      </c>
      <c r="D57" s="97" t="s">
        <v>236</v>
      </c>
      <c r="E57" s="96" t="s">
        <v>18</v>
      </c>
      <c r="F57" s="96" t="s">
        <v>379</v>
      </c>
      <c r="G57" s="47" t="s">
        <v>32</v>
      </c>
      <c r="H57" s="52" t="str">
        <f>VLOOKUP(G57,ColorTable[],2,FALSE)</f>
        <v>192</v>
      </c>
      <c r="I57" s="52" t="str">
        <f>VLOOKUP(G57,ColorTable[],3,FALSE)</f>
        <v>192</v>
      </c>
      <c r="J57" s="52" t="str">
        <f>VLOOKUP(G57,ColorTable[],4,FALSE)</f>
        <v>192</v>
      </c>
      <c r="K57" s="98"/>
      <c r="L57" s="47"/>
    </row>
    <row r="58" spans="1:12" x14ac:dyDescent="0.2">
      <c r="A58" s="46" t="s">
        <v>396</v>
      </c>
      <c r="B58" s="96" t="s">
        <v>354</v>
      </c>
      <c r="C58" s="96" t="s">
        <v>332</v>
      </c>
      <c r="D58" s="97" t="s">
        <v>169</v>
      </c>
      <c r="E58" s="96" t="s">
        <v>19</v>
      </c>
      <c r="F58" s="96" t="s">
        <v>379</v>
      </c>
      <c r="G58" s="47" t="s">
        <v>158</v>
      </c>
      <c r="H58" s="52" t="str">
        <f>VLOOKUP(G58,ColorTable[],2,FALSE)</f>
        <v>0</v>
      </c>
      <c r="I58" s="52" t="str">
        <f>VLOOKUP(G58,ColorTable[],3,FALSE)</f>
        <v>116</v>
      </c>
      <c r="J58" s="52" t="str">
        <f>VLOOKUP(G58,ColorTable[],4,FALSE)</f>
        <v>161</v>
      </c>
      <c r="K58" s="98"/>
      <c r="L58" s="47"/>
    </row>
    <row r="59" spans="1:12" x14ac:dyDescent="0.2">
      <c r="A59" s="46" t="s">
        <v>396</v>
      </c>
      <c r="B59" s="96" t="s">
        <v>354</v>
      </c>
      <c r="C59" s="96" t="s">
        <v>154</v>
      </c>
      <c r="D59" s="97" t="s">
        <v>170</v>
      </c>
      <c r="E59" s="96" t="s">
        <v>19</v>
      </c>
      <c r="F59" s="96" t="s">
        <v>379</v>
      </c>
      <c r="G59" s="47" t="s">
        <v>36</v>
      </c>
      <c r="H59" s="52" t="str">
        <f>VLOOKUP(G59,ColorTable[],2,FALSE)</f>
        <v>184</v>
      </c>
      <c r="I59" s="52" t="str">
        <f>VLOOKUP(G59,ColorTable[],3,FALSE)</f>
        <v>210</v>
      </c>
      <c r="J59" s="52" t="str">
        <f>VLOOKUP(G59,ColorTable[],4,FALSE)</f>
        <v>100</v>
      </c>
      <c r="K59" s="98"/>
      <c r="L59" s="47"/>
    </row>
    <row r="60" spans="1:12" x14ac:dyDescent="0.2">
      <c r="A60" s="46" t="s">
        <v>396</v>
      </c>
      <c r="B60" s="96" t="s">
        <v>354</v>
      </c>
      <c r="C60" s="96" t="s">
        <v>155</v>
      </c>
      <c r="D60" s="97" t="s">
        <v>171</v>
      </c>
      <c r="E60" s="96" t="s">
        <v>19</v>
      </c>
      <c r="F60" s="96" t="s">
        <v>379</v>
      </c>
      <c r="G60" s="47" t="s">
        <v>21</v>
      </c>
      <c r="H60" s="52" t="str">
        <f>VLOOKUP(G60,ColorTable[],2,FALSE)</f>
        <v>113</v>
      </c>
      <c r="I60" s="52" t="str">
        <f>VLOOKUP(G60,ColorTable[],3,FALSE)</f>
        <v>171</v>
      </c>
      <c r="J60" s="52" t="str">
        <f>VLOOKUP(G60,ColorTable[],4,FALSE)</f>
        <v>26</v>
      </c>
      <c r="K60" s="98"/>
      <c r="L60" s="47"/>
    </row>
    <row r="61" spans="1:12" x14ac:dyDescent="0.2">
      <c r="A61" s="46" t="s">
        <v>396</v>
      </c>
      <c r="B61" s="96" t="s">
        <v>354</v>
      </c>
      <c r="C61" s="96" t="s">
        <v>156</v>
      </c>
      <c r="D61" s="97" t="s">
        <v>172</v>
      </c>
      <c r="E61" s="96" t="s">
        <v>19</v>
      </c>
      <c r="F61" s="96" t="s">
        <v>379</v>
      </c>
      <c r="G61" s="47" t="s">
        <v>21</v>
      </c>
      <c r="H61" s="52" t="str">
        <f>VLOOKUP(G61,ColorTable[],2,FALSE)</f>
        <v>113</v>
      </c>
      <c r="I61" s="52" t="str">
        <f>VLOOKUP(G61,ColorTable[],3,FALSE)</f>
        <v>171</v>
      </c>
      <c r="J61" s="52" t="str">
        <f>VLOOKUP(G61,ColorTable[],4,FALSE)</f>
        <v>26</v>
      </c>
      <c r="K61" s="98"/>
      <c r="L61" s="47"/>
    </row>
    <row r="62" spans="1:12" x14ac:dyDescent="0.2">
      <c r="A62" s="46" t="s">
        <v>396</v>
      </c>
      <c r="B62" s="96" t="s">
        <v>355</v>
      </c>
      <c r="C62" s="96" t="s">
        <v>153</v>
      </c>
      <c r="D62" s="97" t="s">
        <v>237</v>
      </c>
      <c r="E62" s="96" t="s">
        <v>18</v>
      </c>
      <c r="F62" s="96" t="s">
        <v>380</v>
      </c>
      <c r="G62" s="47" t="s">
        <v>32</v>
      </c>
      <c r="H62" s="52" t="str">
        <f>VLOOKUP(G62,ColorTable[],2,FALSE)</f>
        <v>192</v>
      </c>
      <c r="I62" s="52" t="str">
        <f>VLOOKUP(G62,ColorTable[],3,FALSE)</f>
        <v>192</v>
      </c>
      <c r="J62" s="52" t="str">
        <f>VLOOKUP(G62,ColorTable[],4,FALSE)</f>
        <v>192</v>
      </c>
      <c r="K62" s="98"/>
      <c r="L62" s="47"/>
    </row>
    <row r="63" spans="1:12" x14ac:dyDescent="0.2">
      <c r="A63" s="46" t="s">
        <v>396</v>
      </c>
      <c r="B63" s="96" t="s">
        <v>355</v>
      </c>
      <c r="C63" s="96" t="s">
        <v>332</v>
      </c>
      <c r="D63" s="97" t="s">
        <v>173</v>
      </c>
      <c r="E63" s="96" t="s">
        <v>19</v>
      </c>
      <c r="F63" s="96" t="s">
        <v>380</v>
      </c>
      <c r="G63" s="47" t="s">
        <v>158</v>
      </c>
      <c r="H63" s="52" t="str">
        <f>VLOOKUP(G63,ColorTable[],2,FALSE)</f>
        <v>0</v>
      </c>
      <c r="I63" s="52" t="str">
        <f>VLOOKUP(G63,ColorTable[],3,FALSE)</f>
        <v>116</v>
      </c>
      <c r="J63" s="52" t="str">
        <f>VLOOKUP(G63,ColorTable[],4,FALSE)</f>
        <v>161</v>
      </c>
      <c r="K63" s="98"/>
      <c r="L63" s="47"/>
    </row>
    <row r="64" spans="1:12" x14ac:dyDescent="0.2">
      <c r="A64" s="46" t="s">
        <v>396</v>
      </c>
      <c r="B64" s="96" t="s">
        <v>355</v>
      </c>
      <c r="C64" s="96" t="s">
        <v>154</v>
      </c>
      <c r="D64" s="97" t="s">
        <v>174</v>
      </c>
      <c r="E64" s="96" t="s">
        <v>19</v>
      </c>
      <c r="F64" s="96" t="s">
        <v>380</v>
      </c>
      <c r="G64" s="47" t="s">
        <v>36</v>
      </c>
      <c r="H64" s="52" t="str">
        <f>VLOOKUP(G64,ColorTable[],2,FALSE)</f>
        <v>184</v>
      </c>
      <c r="I64" s="52" t="str">
        <f>VLOOKUP(G64,ColorTable[],3,FALSE)</f>
        <v>210</v>
      </c>
      <c r="J64" s="52" t="str">
        <f>VLOOKUP(G64,ColorTable[],4,FALSE)</f>
        <v>100</v>
      </c>
      <c r="K64" s="98"/>
      <c r="L64" s="47"/>
    </row>
    <row r="65" spans="1:12" x14ac:dyDescent="0.2">
      <c r="A65" s="46" t="s">
        <v>396</v>
      </c>
      <c r="B65" s="96" t="s">
        <v>355</v>
      </c>
      <c r="C65" s="96" t="s">
        <v>155</v>
      </c>
      <c r="D65" s="97" t="s">
        <v>175</v>
      </c>
      <c r="E65" s="96" t="s">
        <v>19</v>
      </c>
      <c r="F65" s="96" t="s">
        <v>380</v>
      </c>
      <c r="G65" s="47" t="s">
        <v>21</v>
      </c>
      <c r="H65" s="52" t="str">
        <f>VLOOKUP(G65,ColorTable[],2,FALSE)</f>
        <v>113</v>
      </c>
      <c r="I65" s="52" t="str">
        <f>VLOOKUP(G65,ColorTable[],3,FALSE)</f>
        <v>171</v>
      </c>
      <c r="J65" s="52" t="str">
        <f>VLOOKUP(G65,ColorTable[],4,FALSE)</f>
        <v>26</v>
      </c>
      <c r="K65" s="98"/>
      <c r="L65" s="47"/>
    </row>
    <row r="66" spans="1:12" x14ac:dyDescent="0.2">
      <c r="A66" s="46" t="s">
        <v>396</v>
      </c>
      <c r="B66" s="96" t="s">
        <v>355</v>
      </c>
      <c r="C66" s="96" t="s">
        <v>156</v>
      </c>
      <c r="D66" s="97" t="s">
        <v>176</v>
      </c>
      <c r="E66" s="96" t="s">
        <v>19</v>
      </c>
      <c r="F66" s="96" t="s">
        <v>380</v>
      </c>
      <c r="G66" s="47" t="s">
        <v>21</v>
      </c>
      <c r="H66" s="52" t="str">
        <f>VLOOKUP(G66,ColorTable[],2,FALSE)</f>
        <v>113</v>
      </c>
      <c r="I66" s="52" t="str">
        <f>VLOOKUP(G66,ColorTable[],3,FALSE)</f>
        <v>171</v>
      </c>
      <c r="J66" s="52" t="str">
        <f>VLOOKUP(G66,ColorTable[],4,FALSE)</f>
        <v>26</v>
      </c>
      <c r="K66" s="98"/>
      <c r="L66" s="47"/>
    </row>
    <row r="67" spans="1:12" x14ac:dyDescent="0.2">
      <c r="A67" s="46" t="s">
        <v>396</v>
      </c>
      <c r="B67" s="96" t="s">
        <v>361</v>
      </c>
      <c r="C67" s="96" t="s">
        <v>153</v>
      </c>
      <c r="D67" s="97" t="s">
        <v>238</v>
      </c>
      <c r="E67" s="96" t="s">
        <v>18</v>
      </c>
      <c r="F67" s="96" t="s">
        <v>384</v>
      </c>
      <c r="G67" s="47" t="s">
        <v>32</v>
      </c>
      <c r="H67" s="52" t="str">
        <f>VLOOKUP(G67,ColorTable[],2,FALSE)</f>
        <v>192</v>
      </c>
      <c r="I67" s="52" t="str">
        <f>VLOOKUP(G67,ColorTable[],3,FALSE)</f>
        <v>192</v>
      </c>
      <c r="J67" s="52" t="str">
        <f>VLOOKUP(G67,ColorTable[],4,FALSE)</f>
        <v>192</v>
      </c>
      <c r="K67" s="98"/>
      <c r="L67" s="47"/>
    </row>
    <row r="68" spans="1:12" x14ac:dyDescent="0.2">
      <c r="A68" s="46" t="s">
        <v>396</v>
      </c>
      <c r="B68" s="96" t="s">
        <v>361</v>
      </c>
      <c r="C68" s="96" t="s">
        <v>332</v>
      </c>
      <c r="D68" s="97" t="s">
        <v>177</v>
      </c>
      <c r="E68" s="96" t="s">
        <v>19</v>
      </c>
      <c r="F68" s="96" t="s">
        <v>384</v>
      </c>
      <c r="G68" s="47" t="s">
        <v>158</v>
      </c>
      <c r="H68" s="52" t="str">
        <f>VLOOKUP(G68,ColorTable[],2,FALSE)</f>
        <v>0</v>
      </c>
      <c r="I68" s="52" t="str">
        <f>VLOOKUP(G68,ColorTable[],3,FALSE)</f>
        <v>116</v>
      </c>
      <c r="J68" s="52" t="str">
        <f>VLOOKUP(G68,ColorTable[],4,FALSE)</f>
        <v>161</v>
      </c>
      <c r="K68" s="98"/>
      <c r="L68" s="47"/>
    </row>
    <row r="69" spans="1:12" x14ac:dyDescent="0.2">
      <c r="A69" s="46" t="s">
        <v>396</v>
      </c>
      <c r="B69" s="96" t="s">
        <v>361</v>
      </c>
      <c r="C69" s="96" t="s">
        <v>154</v>
      </c>
      <c r="D69" s="97" t="s">
        <v>178</v>
      </c>
      <c r="E69" s="96" t="s">
        <v>19</v>
      </c>
      <c r="F69" s="96" t="s">
        <v>384</v>
      </c>
      <c r="G69" s="47" t="s">
        <v>36</v>
      </c>
      <c r="H69" s="52" t="str">
        <f>VLOOKUP(G69,ColorTable[],2,FALSE)</f>
        <v>184</v>
      </c>
      <c r="I69" s="52" t="str">
        <f>VLOOKUP(G69,ColorTable[],3,FALSE)</f>
        <v>210</v>
      </c>
      <c r="J69" s="52" t="str">
        <f>VLOOKUP(G69,ColorTable[],4,FALSE)</f>
        <v>100</v>
      </c>
      <c r="K69" s="98"/>
      <c r="L69" s="47"/>
    </row>
    <row r="70" spans="1:12" x14ac:dyDescent="0.2">
      <c r="A70" s="46" t="s">
        <v>396</v>
      </c>
      <c r="B70" s="96" t="s">
        <v>361</v>
      </c>
      <c r="C70" s="96" t="s">
        <v>155</v>
      </c>
      <c r="D70" s="97" t="s">
        <v>179</v>
      </c>
      <c r="E70" s="96" t="s">
        <v>19</v>
      </c>
      <c r="F70" s="96" t="s">
        <v>384</v>
      </c>
      <c r="G70" s="47" t="s">
        <v>21</v>
      </c>
      <c r="H70" s="52" t="str">
        <f>VLOOKUP(G70,ColorTable[],2,FALSE)</f>
        <v>113</v>
      </c>
      <c r="I70" s="52" t="str">
        <f>VLOOKUP(G70,ColorTable[],3,FALSE)</f>
        <v>171</v>
      </c>
      <c r="J70" s="52" t="str">
        <f>VLOOKUP(G70,ColorTable[],4,FALSE)</f>
        <v>26</v>
      </c>
      <c r="K70" s="98"/>
      <c r="L70" s="47"/>
    </row>
    <row r="71" spans="1:12" x14ac:dyDescent="0.2">
      <c r="A71" s="46" t="s">
        <v>396</v>
      </c>
      <c r="B71" s="96" t="s">
        <v>361</v>
      </c>
      <c r="C71" s="96" t="s">
        <v>156</v>
      </c>
      <c r="D71" s="97" t="s">
        <v>180</v>
      </c>
      <c r="E71" s="96" t="s">
        <v>19</v>
      </c>
      <c r="F71" s="96" t="s">
        <v>384</v>
      </c>
      <c r="G71" s="47" t="s">
        <v>21</v>
      </c>
      <c r="H71" s="52" t="str">
        <f>VLOOKUP(G71,ColorTable[],2,FALSE)</f>
        <v>113</v>
      </c>
      <c r="I71" s="52" t="str">
        <f>VLOOKUP(G71,ColorTable[],3,FALSE)</f>
        <v>171</v>
      </c>
      <c r="J71" s="52" t="str">
        <f>VLOOKUP(G71,ColorTable[],4,FALSE)</f>
        <v>26</v>
      </c>
      <c r="K71" s="98"/>
      <c r="L71" s="47"/>
    </row>
    <row r="72" spans="1:12" x14ac:dyDescent="0.2">
      <c r="A72" s="46" t="s">
        <v>396</v>
      </c>
      <c r="B72" s="96" t="s">
        <v>362</v>
      </c>
      <c r="C72" s="96" t="s">
        <v>153</v>
      </c>
      <c r="D72" s="97" t="s">
        <v>275</v>
      </c>
      <c r="E72" s="96" t="s">
        <v>18</v>
      </c>
      <c r="F72" s="96" t="s">
        <v>385</v>
      </c>
      <c r="G72" s="47" t="s">
        <v>32</v>
      </c>
      <c r="H72" s="52" t="str">
        <f>VLOOKUP(G72,ColorTable[],2,FALSE)</f>
        <v>192</v>
      </c>
      <c r="I72" s="52" t="str">
        <f>VLOOKUP(G72,ColorTable[],3,FALSE)</f>
        <v>192</v>
      </c>
      <c r="J72" s="52" t="str">
        <f>VLOOKUP(G72,ColorTable[],4,FALSE)</f>
        <v>192</v>
      </c>
      <c r="K72" s="98"/>
      <c r="L72" s="47"/>
    </row>
    <row r="73" spans="1:12" x14ac:dyDescent="0.2">
      <c r="A73" s="46" t="s">
        <v>396</v>
      </c>
      <c r="B73" s="96" t="s">
        <v>362</v>
      </c>
      <c r="C73" s="96" t="s">
        <v>332</v>
      </c>
      <c r="D73" s="97" t="s">
        <v>276</v>
      </c>
      <c r="E73" s="96" t="s">
        <v>19</v>
      </c>
      <c r="F73" s="96" t="s">
        <v>385</v>
      </c>
      <c r="G73" s="47" t="s">
        <v>158</v>
      </c>
      <c r="H73" s="52" t="str">
        <f>VLOOKUP(G73,ColorTable[],2,FALSE)</f>
        <v>0</v>
      </c>
      <c r="I73" s="52" t="str">
        <f>VLOOKUP(G73,ColorTable[],3,FALSE)</f>
        <v>116</v>
      </c>
      <c r="J73" s="52" t="str">
        <f>VLOOKUP(G73,ColorTable[],4,FALSE)</f>
        <v>161</v>
      </c>
      <c r="K73" s="98"/>
      <c r="L73" s="47"/>
    </row>
    <row r="74" spans="1:12" x14ac:dyDescent="0.2">
      <c r="A74" s="46" t="s">
        <v>396</v>
      </c>
      <c r="B74" s="96" t="s">
        <v>362</v>
      </c>
      <c r="C74" s="96" t="s">
        <v>154</v>
      </c>
      <c r="D74" s="97" t="s">
        <v>277</v>
      </c>
      <c r="E74" s="96" t="s">
        <v>19</v>
      </c>
      <c r="F74" s="96" t="s">
        <v>385</v>
      </c>
      <c r="G74" s="47" t="s">
        <v>36</v>
      </c>
      <c r="H74" s="52" t="str">
        <f>VLOOKUP(G74,ColorTable[],2,FALSE)</f>
        <v>184</v>
      </c>
      <c r="I74" s="52" t="str">
        <f>VLOOKUP(G74,ColorTable[],3,FALSE)</f>
        <v>210</v>
      </c>
      <c r="J74" s="52" t="str">
        <f>VLOOKUP(G74,ColorTable[],4,FALSE)</f>
        <v>100</v>
      </c>
      <c r="K74" s="98"/>
      <c r="L74" s="47"/>
    </row>
    <row r="75" spans="1:12" x14ac:dyDescent="0.2">
      <c r="A75" s="46" t="s">
        <v>396</v>
      </c>
      <c r="B75" s="96" t="s">
        <v>362</v>
      </c>
      <c r="C75" s="96" t="s">
        <v>155</v>
      </c>
      <c r="D75" s="97" t="s">
        <v>278</v>
      </c>
      <c r="E75" s="96" t="s">
        <v>19</v>
      </c>
      <c r="F75" s="96" t="s">
        <v>385</v>
      </c>
      <c r="G75" s="47" t="s">
        <v>21</v>
      </c>
      <c r="H75" s="52" t="str">
        <f>VLOOKUP(G75,ColorTable[],2,FALSE)</f>
        <v>113</v>
      </c>
      <c r="I75" s="52" t="str">
        <f>VLOOKUP(G75,ColorTable[],3,FALSE)</f>
        <v>171</v>
      </c>
      <c r="J75" s="52" t="str">
        <f>VLOOKUP(G75,ColorTable[],4,FALSE)</f>
        <v>26</v>
      </c>
      <c r="K75" s="98"/>
      <c r="L75" s="47"/>
    </row>
    <row r="76" spans="1:12" x14ac:dyDescent="0.2">
      <c r="A76" s="46" t="s">
        <v>396</v>
      </c>
      <c r="B76" s="96" t="s">
        <v>362</v>
      </c>
      <c r="C76" s="96" t="s">
        <v>156</v>
      </c>
      <c r="D76" s="97" t="s">
        <v>279</v>
      </c>
      <c r="E76" s="96" t="s">
        <v>19</v>
      </c>
      <c r="F76" s="96" t="s">
        <v>385</v>
      </c>
      <c r="G76" s="47" t="s">
        <v>21</v>
      </c>
      <c r="H76" s="52" t="str">
        <f>VLOOKUP(G76,ColorTable[],2,FALSE)</f>
        <v>113</v>
      </c>
      <c r="I76" s="52" t="str">
        <f>VLOOKUP(G76,ColorTable[],3,FALSE)</f>
        <v>171</v>
      </c>
      <c r="J76" s="52" t="str">
        <f>VLOOKUP(G76,ColorTable[],4,FALSE)</f>
        <v>26</v>
      </c>
      <c r="K76" s="98"/>
      <c r="L76" s="47"/>
    </row>
    <row r="77" spans="1:12" x14ac:dyDescent="0.2">
      <c r="A77" s="46" t="s">
        <v>396</v>
      </c>
      <c r="B77" s="96" t="s">
        <v>363</v>
      </c>
      <c r="C77" s="96" t="s">
        <v>153</v>
      </c>
      <c r="D77" s="97" t="s">
        <v>280</v>
      </c>
      <c r="E77" s="96" t="s">
        <v>18</v>
      </c>
      <c r="F77" s="96" t="s">
        <v>386</v>
      </c>
      <c r="G77" s="47" t="s">
        <v>32</v>
      </c>
      <c r="H77" s="52" t="str">
        <f>VLOOKUP(G77,ColorTable[],2,FALSE)</f>
        <v>192</v>
      </c>
      <c r="I77" s="52" t="str">
        <f>VLOOKUP(G77,ColorTable[],3,FALSE)</f>
        <v>192</v>
      </c>
      <c r="J77" s="52" t="str">
        <f>VLOOKUP(G77,ColorTable[],4,FALSE)</f>
        <v>192</v>
      </c>
      <c r="K77" s="98"/>
      <c r="L77" s="47"/>
    </row>
    <row r="78" spans="1:12" x14ac:dyDescent="0.2">
      <c r="A78" s="46" t="s">
        <v>396</v>
      </c>
      <c r="B78" s="96" t="s">
        <v>363</v>
      </c>
      <c r="C78" s="96" t="s">
        <v>332</v>
      </c>
      <c r="D78" s="97" t="s">
        <v>281</v>
      </c>
      <c r="E78" s="96" t="s">
        <v>19</v>
      </c>
      <c r="F78" s="96" t="s">
        <v>386</v>
      </c>
      <c r="G78" s="47" t="s">
        <v>158</v>
      </c>
      <c r="H78" s="52" t="str">
        <f>VLOOKUP(G78,ColorTable[],2,FALSE)</f>
        <v>0</v>
      </c>
      <c r="I78" s="52" t="str">
        <f>VLOOKUP(G78,ColorTable[],3,FALSE)</f>
        <v>116</v>
      </c>
      <c r="J78" s="52" t="str">
        <f>VLOOKUP(G78,ColorTable[],4,FALSE)</f>
        <v>161</v>
      </c>
      <c r="K78" s="98"/>
      <c r="L78" s="47"/>
    </row>
    <row r="79" spans="1:12" x14ac:dyDescent="0.2">
      <c r="A79" s="46" t="s">
        <v>396</v>
      </c>
      <c r="B79" s="96" t="s">
        <v>363</v>
      </c>
      <c r="C79" s="96" t="s">
        <v>154</v>
      </c>
      <c r="D79" s="97" t="s">
        <v>282</v>
      </c>
      <c r="E79" s="96" t="s">
        <v>19</v>
      </c>
      <c r="F79" s="96" t="s">
        <v>386</v>
      </c>
      <c r="G79" s="47" t="s">
        <v>36</v>
      </c>
      <c r="H79" s="52" t="str">
        <f>VLOOKUP(G79,ColorTable[],2,FALSE)</f>
        <v>184</v>
      </c>
      <c r="I79" s="52" t="str">
        <f>VLOOKUP(G79,ColorTable[],3,FALSE)</f>
        <v>210</v>
      </c>
      <c r="J79" s="52" t="str">
        <f>VLOOKUP(G79,ColorTable[],4,FALSE)</f>
        <v>100</v>
      </c>
      <c r="K79" s="98"/>
      <c r="L79" s="47"/>
    </row>
    <row r="80" spans="1:12" x14ac:dyDescent="0.2">
      <c r="A80" s="46" t="s">
        <v>396</v>
      </c>
      <c r="B80" s="96" t="s">
        <v>363</v>
      </c>
      <c r="C80" s="96" t="s">
        <v>155</v>
      </c>
      <c r="D80" s="97" t="s">
        <v>283</v>
      </c>
      <c r="E80" s="96" t="s">
        <v>19</v>
      </c>
      <c r="F80" s="96" t="s">
        <v>386</v>
      </c>
      <c r="G80" s="47" t="s">
        <v>21</v>
      </c>
      <c r="H80" s="52" t="str">
        <f>VLOOKUP(G80,ColorTable[],2,FALSE)</f>
        <v>113</v>
      </c>
      <c r="I80" s="52" t="str">
        <f>VLOOKUP(G80,ColorTable[],3,FALSE)</f>
        <v>171</v>
      </c>
      <c r="J80" s="52" t="str">
        <f>VLOOKUP(G80,ColorTable[],4,FALSE)</f>
        <v>26</v>
      </c>
      <c r="K80" s="98"/>
      <c r="L80" s="47"/>
    </row>
    <row r="81" spans="1:12" x14ac:dyDescent="0.2">
      <c r="A81" s="46" t="s">
        <v>396</v>
      </c>
      <c r="B81" s="96" t="s">
        <v>363</v>
      </c>
      <c r="C81" s="96" t="s">
        <v>156</v>
      </c>
      <c r="D81" s="97" t="s">
        <v>284</v>
      </c>
      <c r="E81" s="96" t="s">
        <v>19</v>
      </c>
      <c r="F81" s="96" t="s">
        <v>386</v>
      </c>
      <c r="G81" s="47" t="s">
        <v>21</v>
      </c>
      <c r="H81" s="52" t="str">
        <f>VLOOKUP(G81,ColorTable[],2,FALSE)</f>
        <v>113</v>
      </c>
      <c r="I81" s="52" t="str">
        <f>VLOOKUP(G81,ColorTable[],3,FALSE)</f>
        <v>171</v>
      </c>
      <c r="J81" s="52" t="str">
        <f>VLOOKUP(G81,ColorTable[],4,FALSE)</f>
        <v>26</v>
      </c>
      <c r="K81" s="98"/>
      <c r="L81" s="47"/>
    </row>
    <row r="82" spans="1:12" x14ac:dyDescent="0.2">
      <c r="A82" s="46" t="s">
        <v>395</v>
      </c>
      <c r="B82" s="96" t="s">
        <v>357</v>
      </c>
      <c r="C82" s="96" t="s">
        <v>153</v>
      </c>
      <c r="D82" s="97" t="s">
        <v>239</v>
      </c>
      <c r="E82" s="96" t="s">
        <v>18</v>
      </c>
      <c r="F82" s="96" t="s">
        <v>356</v>
      </c>
      <c r="G82" s="47" t="s">
        <v>32</v>
      </c>
      <c r="H82" s="52" t="str">
        <f>VLOOKUP(G82,ColorTable[],2,FALSE)</f>
        <v>192</v>
      </c>
      <c r="I82" s="52" t="str">
        <f>VLOOKUP(G82,ColorTable[],3,FALSE)</f>
        <v>192</v>
      </c>
      <c r="J82" s="52" t="str">
        <f>VLOOKUP(G82,ColorTable[],4,FALSE)</f>
        <v>192</v>
      </c>
      <c r="K82" s="99">
        <v>43020.520312499997</v>
      </c>
      <c r="L82" s="47" t="s">
        <v>414</v>
      </c>
    </row>
    <row r="83" spans="1:12" x14ac:dyDescent="0.2">
      <c r="A83" s="46" t="s">
        <v>395</v>
      </c>
      <c r="B83" s="96" t="s">
        <v>357</v>
      </c>
      <c r="C83" s="96" t="s">
        <v>332</v>
      </c>
      <c r="D83" s="97" t="s">
        <v>125</v>
      </c>
      <c r="E83" s="96" t="s">
        <v>19</v>
      </c>
      <c r="F83" s="96" t="s">
        <v>356</v>
      </c>
      <c r="G83" s="47" t="s">
        <v>158</v>
      </c>
      <c r="H83" s="52" t="str">
        <f>VLOOKUP(G83,ColorTable[],2,FALSE)</f>
        <v>0</v>
      </c>
      <c r="I83" s="52" t="str">
        <f>VLOOKUP(G83,ColorTable[],3,FALSE)</f>
        <v>116</v>
      </c>
      <c r="J83" s="52" t="str">
        <f>VLOOKUP(G83,ColorTable[],4,FALSE)</f>
        <v>161</v>
      </c>
      <c r="K83" s="98"/>
      <c r="L83" s="47"/>
    </row>
    <row r="84" spans="1:12" x14ac:dyDescent="0.2">
      <c r="A84" s="46" t="s">
        <v>395</v>
      </c>
      <c r="B84" s="96" t="s">
        <v>357</v>
      </c>
      <c r="C84" s="96" t="s">
        <v>154</v>
      </c>
      <c r="D84" s="97" t="s">
        <v>64</v>
      </c>
      <c r="E84" s="96" t="s">
        <v>19</v>
      </c>
      <c r="F84" s="96" t="s">
        <v>356</v>
      </c>
      <c r="G84" s="47" t="s">
        <v>36</v>
      </c>
      <c r="H84" s="52" t="str">
        <f>VLOOKUP(G84,ColorTable[],2,FALSE)</f>
        <v>184</v>
      </c>
      <c r="I84" s="52" t="str">
        <f>VLOOKUP(G84,ColorTable[],3,FALSE)</f>
        <v>210</v>
      </c>
      <c r="J84" s="52" t="str">
        <f>VLOOKUP(G84,ColorTable[],4,FALSE)</f>
        <v>100</v>
      </c>
      <c r="K84" s="98"/>
      <c r="L84" s="47"/>
    </row>
    <row r="85" spans="1:12" x14ac:dyDescent="0.2">
      <c r="A85" s="46" t="s">
        <v>395</v>
      </c>
      <c r="B85" s="96" t="s">
        <v>357</v>
      </c>
      <c r="C85" s="96" t="s">
        <v>155</v>
      </c>
      <c r="D85" s="97" t="s">
        <v>65</v>
      </c>
      <c r="E85" s="96" t="s">
        <v>19</v>
      </c>
      <c r="F85" s="96" t="s">
        <v>356</v>
      </c>
      <c r="G85" s="47" t="s">
        <v>21</v>
      </c>
      <c r="H85" s="52" t="str">
        <f>VLOOKUP(G85,ColorTable[],2,FALSE)</f>
        <v>113</v>
      </c>
      <c r="I85" s="52" t="str">
        <f>VLOOKUP(G85,ColorTable[],3,FALSE)</f>
        <v>171</v>
      </c>
      <c r="J85" s="52" t="str">
        <f>VLOOKUP(G85,ColorTable[],4,FALSE)</f>
        <v>26</v>
      </c>
      <c r="K85" s="98"/>
      <c r="L85" s="47"/>
    </row>
    <row r="86" spans="1:12" x14ac:dyDescent="0.2">
      <c r="A86" s="46" t="s">
        <v>395</v>
      </c>
      <c r="B86" s="96" t="s">
        <v>357</v>
      </c>
      <c r="C86" s="96" t="s">
        <v>156</v>
      </c>
      <c r="D86" s="97" t="s">
        <v>66</v>
      </c>
      <c r="E86" s="96" t="s">
        <v>19</v>
      </c>
      <c r="F86" s="96" t="s">
        <v>356</v>
      </c>
      <c r="G86" s="47" t="s">
        <v>21</v>
      </c>
      <c r="H86" s="52" t="str">
        <f>VLOOKUP(G86,ColorTable[],2,FALSE)</f>
        <v>113</v>
      </c>
      <c r="I86" s="52" t="str">
        <f>VLOOKUP(G86,ColorTable[],3,FALSE)</f>
        <v>171</v>
      </c>
      <c r="J86" s="52" t="str">
        <f>VLOOKUP(G86,ColorTable[],4,FALSE)</f>
        <v>26</v>
      </c>
      <c r="K86" s="98"/>
      <c r="L86" s="47"/>
    </row>
    <row r="87" spans="1:12" x14ac:dyDescent="0.2">
      <c r="A87" s="46" t="s">
        <v>395</v>
      </c>
      <c r="B87" s="96" t="s">
        <v>358</v>
      </c>
      <c r="C87" s="96" t="s">
        <v>153</v>
      </c>
      <c r="D87" s="97" t="s">
        <v>240</v>
      </c>
      <c r="E87" s="96" t="s">
        <v>18</v>
      </c>
      <c r="F87" s="96" t="s">
        <v>381</v>
      </c>
      <c r="G87" s="47" t="s">
        <v>32</v>
      </c>
      <c r="H87" s="52" t="str">
        <f>VLOOKUP(G87,ColorTable[],2,FALSE)</f>
        <v>192</v>
      </c>
      <c r="I87" s="52" t="str">
        <f>VLOOKUP(G87,ColorTable[],3,FALSE)</f>
        <v>192</v>
      </c>
      <c r="J87" s="52" t="str">
        <f>VLOOKUP(G87,ColorTable[],4,FALSE)</f>
        <v>192</v>
      </c>
      <c r="K87" s="98"/>
      <c r="L87" s="47"/>
    </row>
    <row r="88" spans="1:12" x14ac:dyDescent="0.2">
      <c r="A88" s="46" t="s">
        <v>395</v>
      </c>
      <c r="B88" s="96" t="s">
        <v>358</v>
      </c>
      <c r="C88" s="96" t="s">
        <v>332</v>
      </c>
      <c r="D88" s="97" t="s">
        <v>126</v>
      </c>
      <c r="E88" s="96" t="s">
        <v>19</v>
      </c>
      <c r="F88" s="96" t="s">
        <v>381</v>
      </c>
      <c r="G88" s="47" t="s">
        <v>158</v>
      </c>
      <c r="H88" s="52" t="str">
        <f>VLOOKUP(G88,ColorTable[],2,FALSE)</f>
        <v>0</v>
      </c>
      <c r="I88" s="52" t="str">
        <f>VLOOKUP(G88,ColorTable[],3,FALSE)</f>
        <v>116</v>
      </c>
      <c r="J88" s="52" t="str">
        <f>VLOOKUP(G88,ColorTable[],4,FALSE)</f>
        <v>161</v>
      </c>
      <c r="K88" s="98"/>
      <c r="L88" s="47"/>
    </row>
    <row r="89" spans="1:12" x14ac:dyDescent="0.2">
      <c r="A89" s="46" t="s">
        <v>395</v>
      </c>
      <c r="B89" s="96" t="s">
        <v>358</v>
      </c>
      <c r="C89" s="96" t="s">
        <v>154</v>
      </c>
      <c r="D89" s="97" t="s">
        <v>67</v>
      </c>
      <c r="E89" s="96" t="s">
        <v>19</v>
      </c>
      <c r="F89" s="96" t="s">
        <v>381</v>
      </c>
      <c r="G89" s="47" t="s">
        <v>36</v>
      </c>
      <c r="H89" s="52" t="str">
        <f>VLOOKUP(G89,ColorTable[],2,FALSE)</f>
        <v>184</v>
      </c>
      <c r="I89" s="52" t="str">
        <f>VLOOKUP(G89,ColorTable[],3,FALSE)</f>
        <v>210</v>
      </c>
      <c r="J89" s="52" t="str">
        <f>VLOOKUP(G89,ColorTable[],4,FALSE)</f>
        <v>100</v>
      </c>
      <c r="K89" s="98"/>
      <c r="L89" s="47"/>
    </row>
    <row r="90" spans="1:12" x14ac:dyDescent="0.2">
      <c r="A90" s="46" t="s">
        <v>395</v>
      </c>
      <c r="B90" s="96" t="s">
        <v>358</v>
      </c>
      <c r="C90" s="96" t="s">
        <v>155</v>
      </c>
      <c r="D90" s="97" t="s">
        <v>68</v>
      </c>
      <c r="E90" s="96" t="s">
        <v>19</v>
      </c>
      <c r="F90" s="96" t="s">
        <v>381</v>
      </c>
      <c r="G90" s="47" t="s">
        <v>21</v>
      </c>
      <c r="H90" s="52" t="str">
        <f>VLOOKUP(G90,ColorTable[],2,FALSE)</f>
        <v>113</v>
      </c>
      <c r="I90" s="52" t="str">
        <f>VLOOKUP(G90,ColorTable[],3,FALSE)</f>
        <v>171</v>
      </c>
      <c r="J90" s="52" t="str">
        <f>VLOOKUP(G90,ColorTable[],4,FALSE)</f>
        <v>26</v>
      </c>
      <c r="K90" s="98"/>
      <c r="L90" s="47"/>
    </row>
    <row r="91" spans="1:12" x14ac:dyDescent="0.2">
      <c r="A91" s="46" t="s">
        <v>395</v>
      </c>
      <c r="B91" s="96" t="s">
        <v>358</v>
      </c>
      <c r="C91" s="96" t="s">
        <v>156</v>
      </c>
      <c r="D91" s="97" t="s">
        <v>69</v>
      </c>
      <c r="E91" s="96" t="s">
        <v>19</v>
      </c>
      <c r="F91" s="96" t="s">
        <v>381</v>
      </c>
      <c r="G91" s="47" t="s">
        <v>21</v>
      </c>
      <c r="H91" s="52" t="str">
        <f>VLOOKUP(G91,ColorTable[],2,FALSE)</f>
        <v>113</v>
      </c>
      <c r="I91" s="52" t="str">
        <f>VLOOKUP(G91,ColorTable[],3,FALSE)</f>
        <v>171</v>
      </c>
      <c r="J91" s="52" t="str">
        <f>VLOOKUP(G91,ColorTable[],4,FALSE)</f>
        <v>26</v>
      </c>
      <c r="K91" s="98"/>
      <c r="L91" s="47"/>
    </row>
    <row r="92" spans="1:12" x14ac:dyDescent="0.2">
      <c r="A92" s="46" t="s">
        <v>395</v>
      </c>
      <c r="B92" s="96" t="s">
        <v>359</v>
      </c>
      <c r="C92" s="96" t="s">
        <v>153</v>
      </c>
      <c r="D92" s="97" t="s">
        <v>241</v>
      </c>
      <c r="E92" s="96" t="s">
        <v>18</v>
      </c>
      <c r="F92" s="96" t="s">
        <v>382</v>
      </c>
      <c r="G92" s="47" t="s">
        <v>32</v>
      </c>
      <c r="H92" s="52" t="str">
        <f>VLOOKUP(G92,ColorTable[],2,FALSE)</f>
        <v>192</v>
      </c>
      <c r="I92" s="52" t="str">
        <f>VLOOKUP(G92,ColorTable[],3,FALSE)</f>
        <v>192</v>
      </c>
      <c r="J92" s="52" t="str">
        <f>VLOOKUP(G92,ColorTable[],4,FALSE)</f>
        <v>192</v>
      </c>
      <c r="K92" s="98"/>
      <c r="L92" s="47"/>
    </row>
    <row r="93" spans="1:12" x14ac:dyDescent="0.2">
      <c r="A93" s="46" t="s">
        <v>395</v>
      </c>
      <c r="B93" s="96" t="s">
        <v>359</v>
      </c>
      <c r="C93" s="96" t="s">
        <v>332</v>
      </c>
      <c r="D93" s="97" t="s">
        <v>127</v>
      </c>
      <c r="E93" s="96" t="s">
        <v>19</v>
      </c>
      <c r="F93" s="96" t="s">
        <v>382</v>
      </c>
      <c r="G93" s="47" t="s">
        <v>158</v>
      </c>
      <c r="H93" s="52" t="str">
        <f>VLOOKUP(G93,ColorTable[],2,FALSE)</f>
        <v>0</v>
      </c>
      <c r="I93" s="52" t="str">
        <f>VLOOKUP(G93,ColorTable[],3,FALSE)</f>
        <v>116</v>
      </c>
      <c r="J93" s="52" t="str">
        <f>VLOOKUP(G93,ColorTable[],4,FALSE)</f>
        <v>161</v>
      </c>
      <c r="K93" s="98"/>
      <c r="L93" s="47"/>
    </row>
    <row r="94" spans="1:12" x14ac:dyDescent="0.2">
      <c r="A94" s="46" t="s">
        <v>395</v>
      </c>
      <c r="B94" s="96" t="s">
        <v>359</v>
      </c>
      <c r="C94" s="96" t="s">
        <v>154</v>
      </c>
      <c r="D94" s="97" t="s">
        <v>70</v>
      </c>
      <c r="E94" s="96" t="s">
        <v>19</v>
      </c>
      <c r="F94" s="96" t="s">
        <v>382</v>
      </c>
      <c r="G94" s="47" t="s">
        <v>36</v>
      </c>
      <c r="H94" s="52" t="str">
        <f>VLOOKUP(G94,ColorTable[],2,FALSE)</f>
        <v>184</v>
      </c>
      <c r="I94" s="52" t="str">
        <f>VLOOKUP(G94,ColorTable[],3,FALSE)</f>
        <v>210</v>
      </c>
      <c r="J94" s="52" t="str">
        <f>VLOOKUP(G94,ColorTable[],4,FALSE)</f>
        <v>100</v>
      </c>
      <c r="K94" s="98"/>
      <c r="L94" s="47"/>
    </row>
    <row r="95" spans="1:12" x14ac:dyDescent="0.2">
      <c r="A95" s="46" t="s">
        <v>395</v>
      </c>
      <c r="B95" s="96" t="s">
        <v>359</v>
      </c>
      <c r="C95" s="96" t="s">
        <v>155</v>
      </c>
      <c r="D95" s="97" t="s">
        <v>71</v>
      </c>
      <c r="E95" s="96" t="s">
        <v>19</v>
      </c>
      <c r="F95" s="96" t="s">
        <v>382</v>
      </c>
      <c r="G95" s="47" t="s">
        <v>21</v>
      </c>
      <c r="H95" s="52" t="str">
        <f>VLOOKUP(G95,ColorTable[],2,FALSE)</f>
        <v>113</v>
      </c>
      <c r="I95" s="52" t="str">
        <f>VLOOKUP(G95,ColorTable[],3,FALSE)</f>
        <v>171</v>
      </c>
      <c r="J95" s="52" t="str">
        <f>VLOOKUP(G95,ColorTable[],4,FALSE)</f>
        <v>26</v>
      </c>
      <c r="K95" s="98"/>
      <c r="L95" s="47"/>
    </row>
    <row r="96" spans="1:12" x14ac:dyDescent="0.2">
      <c r="A96" s="46" t="s">
        <v>395</v>
      </c>
      <c r="B96" s="96" t="s">
        <v>359</v>
      </c>
      <c r="C96" s="96" t="s">
        <v>156</v>
      </c>
      <c r="D96" s="97" t="s">
        <v>72</v>
      </c>
      <c r="E96" s="96" t="s">
        <v>19</v>
      </c>
      <c r="F96" s="96" t="s">
        <v>382</v>
      </c>
      <c r="G96" s="47" t="s">
        <v>21</v>
      </c>
      <c r="H96" s="52" t="str">
        <f>VLOOKUP(G96,ColorTable[],2,FALSE)</f>
        <v>113</v>
      </c>
      <c r="I96" s="52" t="str">
        <f>VLOOKUP(G96,ColorTable[],3,FALSE)</f>
        <v>171</v>
      </c>
      <c r="J96" s="52" t="str">
        <f>VLOOKUP(G96,ColorTable[],4,FALSE)</f>
        <v>26</v>
      </c>
      <c r="K96" s="98"/>
      <c r="L96" s="47"/>
    </row>
    <row r="97" spans="1:12" x14ac:dyDescent="0.2">
      <c r="A97" s="46" t="s">
        <v>395</v>
      </c>
      <c r="B97" s="96" t="s">
        <v>360</v>
      </c>
      <c r="C97" s="96" t="s">
        <v>153</v>
      </c>
      <c r="D97" s="97" t="s">
        <v>242</v>
      </c>
      <c r="E97" s="96" t="s">
        <v>18</v>
      </c>
      <c r="F97" s="96" t="s">
        <v>383</v>
      </c>
      <c r="G97" s="47" t="s">
        <v>32</v>
      </c>
      <c r="H97" s="52" t="str">
        <f>VLOOKUP(G97,ColorTable[],2,FALSE)</f>
        <v>192</v>
      </c>
      <c r="I97" s="52" t="str">
        <f>VLOOKUP(G97,ColorTable[],3,FALSE)</f>
        <v>192</v>
      </c>
      <c r="J97" s="52" t="str">
        <f>VLOOKUP(G97,ColorTable[],4,FALSE)</f>
        <v>192</v>
      </c>
      <c r="K97" s="98"/>
      <c r="L97" s="47"/>
    </row>
    <row r="98" spans="1:12" x14ac:dyDescent="0.2">
      <c r="A98" s="46" t="s">
        <v>395</v>
      </c>
      <c r="B98" s="96" t="s">
        <v>360</v>
      </c>
      <c r="C98" s="96" t="s">
        <v>332</v>
      </c>
      <c r="D98" s="97" t="s">
        <v>115</v>
      </c>
      <c r="E98" s="96" t="s">
        <v>19</v>
      </c>
      <c r="F98" s="96" t="s">
        <v>383</v>
      </c>
      <c r="G98" s="47" t="s">
        <v>158</v>
      </c>
      <c r="H98" s="52" t="str">
        <f>VLOOKUP(G98,ColorTable[],2,FALSE)</f>
        <v>0</v>
      </c>
      <c r="I98" s="52" t="str">
        <f>VLOOKUP(G98,ColorTable[],3,FALSE)</f>
        <v>116</v>
      </c>
      <c r="J98" s="52" t="str">
        <f>VLOOKUP(G98,ColorTable[],4,FALSE)</f>
        <v>161</v>
      </c>
      <c r="K98" s="98"/>
      <c r="L98" s="47"/>
    </row>
    <row r="99" spans="1:12" x14ac:dyDescent="0.2">
      <c r="A99" s="46" t="s">
        <v>395</v>
      </c>
      <c r="B99" s="96" t="s">
        <v>360</v>
      </c>
      <c r="C99" s="96" t="s">
        <v>154</v>
      </c>
      <c r="D99" s="97" t="s">
        <v>73</v>
      </c>
      <c r="E99" s="96" t="s">
        <v>19</v>
      </c>
      <c r="F99" s="96" t="s">
        <v>383</v>
      </c>
      <c r="G99" s="47" t="s">
        <v>36</v>
      </c>
      <c r="H99" s="52" t="str">
        <f>VLOOKUP(G99,ColorTable[],2,FALSE)</f>
        <v>184</v>
      </c>
      <c r="I99" s="52" t="str">
        <f>VLOOKUP(G99,ColorTable[],3,FALSE)</f>
        <v>210</v>
      </c>
      <c r="J99" s="52" t="str">
        <f>VLOOKUP(G99,ColorTable[],4,FALSE)</f>
        <v>100</v>
      </c>
      <c r="K99" s="98"/>
      <c r="L99" s="47"/>
    </row>
    <row r="100" spans="1:12" x14ac:dyDescent="0.2">
      <c r="A100" s="46" t="s">
        <v>395</v>
      </c>
      <c r="B100" s="96" t="s">
        <v>360</v>
      </c>
      <c r="C100" s="96" t="s">
        <v>155</v>
      </c>
      <c r="D100" s="97" t="s">
        <v>181</v>
      </c>
      <c r="E100" s="96" t="s">
        <v>19</v>
      </c>
      <c r="F100" s="96" t="s">
        <v>383</v>
      </c>
      <c r="G100" s="47" t="s">
        <v>21</v>
      </c>
      <c r="H100" s="52" t="str">
        <f>VLOOKUP(G100,ColorTable[],2,FALSE)</f>
        <v>113</v>
      </c>
      <c r="I100" s="52" t="str">
        <f>VLOOKUP(G100,ColorTable[],3,FALSE)</f>
        <v>171</v>
      </c>
      <c r="J100" s="52" t="str">
        <f>VLOOKUP(G100,ColorTable[],4,FALSE)</f>
        <v>26</v>
      </c>
      <c r="K100" s="98"/>
      <c r="L100" s="47"/>
    </row>
    <row r="101" spans="1:12" x14ac:dyDescent="0.2">
      <c r="A101" s="46" t="s">
        <v>395</v>
      </c>
      <c r="B101" s="96" t="s">
        <v>360</v>
      </c>
      <c r="C101" s="96" t="s">
        <v>156</v>
      </c>
      <c r="D101" s="97" t="s">
        <v>182</v>
      </c>
      <c r="E101" s="96" t="s">
        <v>19</v>
      </c>
      <c r="F101" s="96" t="s">
        <v>383</v>
      </c>
      <c r="G101" s="47" t="s">
        <v>21</v>
      </c>
      <c r="H101" s="52" t="str">
        <f>VLOOKUP(G101,ColorTable[],2,FALSE)</f>
        <v>113</v>
      </c>
      <c r="I101" s="52" t="str">
        <f>VLOOKUP(G101,ColorTable[],3,FALSE)</f>
        <v>171</v>
      </c>
      <c r="J101" s="52" t="str">
        <f>VLOOKUP(G101,ColorTable[],4,FALSE)</f>
        <v>26</v>
      </c>
      <c r="K101" s="98"/>
      <c r="L101" s="47"/>
    </row>
    <row r="102" spans="1:12" x14ac:dyDescent="0.2">
      <c r="A102" s="46" t="s">
        <v>395</v>
      </c>
      <c r="B102" s="96" t="s">
        <v>364</v>
      </c>
      <c r="C102" s="96" t="s">
        <v>153</v>
      </c>
      <c r="D102" s="97" t="s">
        <v>243</v>
      </c>
      <c r="E102" s="96" t="s">
        <v>18</v>
      </c>
      <c r="F102" s="96" t="s">
        <v>387</v>
      </c>
      <c r="G102" s="47" t="s">
        <v>32</v>
      </c>
      <c r="H102" s="52" t="str">
        <f>VLOOKUP(G102,ColorTable[],2,FALSE)</f>
        <v>192</v>
      </c>
      <c r="I102" s="52" t="str">
        <f>VLOOKUP(G102,ColorTable[],3,FALSE)</f>
        <v>192</v>
      </c>
      <c r="J102" s="52" t="str">
        <f>VLOOKUP(G102,ColorTable[],4,FALSE)</f>
        <v>192</v>
      </c>
      <c r="K102" s="98"/>
      <c r="L102" s="47"/>
    </row>
    <row r="103" spans="1:12" x14ac:dyDescent="0.2">
      <c r="A103" s="46" t="s">
        <v>395</v>
      </c>
      <c r="B103" s="96" t="s">
        <v>364</v>
      </c>
      <c r="C103" s="96" t="s">
        <v>332</v>
      </c>
      <c r="D103" s="97" t="s">
        <v>128</v>
      </c>
      <c r="E103" s="96" t="s">
        <v>19</v>
      </c>
      <c r="F103" s="96" t="s">
        <v>387</v>
      </c>
      <c r="G103" s="47" t="s">
        <v>158</v>
      </c>
      <c r="H103" s="52" t="str">
        <f>VLOOKUP(G103,ColorTable[],2,FALSE)</f>
        <v>0</v>
      </c>
      <c r="I103" s="52" t="str">
        <f>VLOOKUP(G103,ColorTable[],3,FALSE)</f>
        <v>116</v>
      </c>
      <c r="J103" s="52" t="str">
        <f>VLOOKUP(G103,ColorTable[],4,FALSE)</f>
        <v>161</v>
      </c>
      <c r="K103" s="98"/>
      <c r="L103" s="47"/>
    </row>
    <row r="104" spans="1:12" x14ac:dyDescent="0.2">
      <c r="A104" s="46" t="s">
        <v>395</v>
      </c>
      <c r="B104" s="96" t="s">
        <v>364</v>
      </c>
      <c r="C104" s="96" t="s">
        <v>154</v>
      </c>
      <c r="D104" s="97" t="s">
        <v>75</v>
      </c>
      <c r="E104" s="96" t="s">
        <v>19</v>
      </c>
      <c r="F104" s="96" t="s">
        <v>387</v>
      </c>
      <c r="G104" s="47" t="s">
        <v>36</v>
      </c>
      <c r="H104" s="52" t="str">
        <f>VLOOKUP(G104,ColorTable[],2,FALSE)</f>
        <v>184</v>
      </c>
      <c r="I104" s="52" t="str">
        <f>VLOOKUP(G104,ColorTable[],3,FALSE)</f>
        <v>210</v>
      </c>
      <c r="J104" s="52" t="str">
        <f>VLOOKUP(G104,ColorTable[],4,FALSE)</f>
        <v>100</v>
      </c>
      <c r="K104" s="98"/>
      <c r="L104" s="47"/>
    </row>
    <row r="105" spans="1:12" x14ac:dyDescent="0.2">
      <c r="A105" s="46" t="s">
        <v>395</v>
      </c>
      <c r="B105" s="96" t="s">
        <v>364</v>
      </c>
      <c r="C105" s="96" t="s">
        <v>155</v>
      </c>
      <c r="D105" s="97" t="s">
        <v>76</v>
      </c>
      <c r="E105" s="96" t="s">
        <v>19</v>
      </c>
      <c r="F105" s="96" t="s">
        <v>387</v>
      </c>
      <c r="G105" s="47" t="s">
        <v>21</v>
      </c>
      <c r="H105" s="52" t="str">
        <f>VLOOKUP(G105,ColorTable[],2,FALSE)</f>
        <v>113</v>
      </c>
      <c r="I105" s="52" t="str">
        <f>VLOOKUP(G105,ColorTable[],3,FALSE)</f>
        <v>171</v>
      </c>
      <c r="J105" s="52" t="str">
        <f>VLOOKUP(G105,ColorTable[],4,FALSE)</f>
        <v>26</v>
      </c>
      <c r="K105" s="98"/>
      <c r="L105" s="47"/>
    </row>
    <row r="106" spans="1:12" x14ac:dyDescent="0.2">
      <c r="A106" s="46" t="s">
        <v>395</v>
      </c>
      <c r="B106" s="96" t="s">
        <v>364</v>
      </c>
      <c r="C106" s="96" t="s">
        <v>156</v>
      </c>
      <c r="D106" s="97" t="s">
        <v>74</v>
      </c>
      <c r="E106" s="96" t="s">
        <v>19</v>
      </c>
      <c r="F106" s="96" t="s">
        <v>387</v>
      </c>
      <c r="G106" s="47" t="s">
        <v>21</v>
      </c>
      <c r="H106" s="52" t="str">
        <f>VLOOKUP(G106,ColorTable[],2,FALSE)</f>
        <v>113</v>
      </c>
      <c r="I106" s="52" t="str">
        <f>VLOOKUP(G106,ColorTable[],3,FALSE)</f>
        <v>171</v>
      </c>
      <c r="J106" s="52" t="str">
        <f>VLOOKUP(G106,ColorTable[],4,FALSE)</f>
        <v>26</v>
      </c>
      <c r="K106" s="98"/>
      <c r="L106" s="47"/>
    </row>
    <row r="107" spans="1:12" x14ac:dyDescent="0.2">
      <c r="A107" s="46" t="s">
        <v>395</v>
      </c>
      <c r="B107" s="96" t="s">
        <v>348</v>
      </c>
      <c r="C107" s="96" t="s">
        <v>153</v>
      </c>
      <c r="D107" s="97" t="s">
        <v>244</v>
      </c>
      <c r="E107" s="96" t="s">
        <v>18</v>
      </c>
      <c r="F107" s="96" t="s">
        <v>373</v>
      </c>
      <c r="G107" s="47" t="s">
        <v>32</v>
      </c>
      <c r="H107" s="52" t="str">
        <f>VLOOKUP(G107,ColorTable[],2,FALSE)</f>
        <v>192</v>
      </c>
      <c r="I107" s="52" t="str">
        <f>VLOOKUP(G107,ColorTable[],3,FALSE)</f>
        <v>192</v>
      </c>
      <c r="J107" s="52" t="str">
        <f>VLOOKUP(G107,ColorTable[],4,FALSE)</f>
        <v>192</v>
      </c>
      <c r="K107" s="98"/>
      <c r="L107" s="47"/>
    </row>
    <row r="108" spans="1:12" x14ac:dyDescent="0.2">
      <c r="A108" s="46" t="s">
        <v>395</v>
      </c>
      <c r="B108" s="96" t="s">
        <v>348</v>
      </c>
      <c r="C108" s="96" t="s">
        <v>332</v>
      </c>
      <c r="D108" s="97" t="s">
        <v>129</v>
      </c>
      <c r="E108" s="96" t="s">
        <v>19</v>
      </c>
      <c r="F108" s="96" t="s">
        <v>373</v>
      </c>
      <c r="G108" s="47" t="s">
        <v>158</v>
      </c>
      <c r="H108" s="52" t="str">
        <f>VLOOKUP(G108,ColorTable[],2,FALSE)</f>
        <v>0</v>
      </c>
      <c r="I108" s="52" t="str">
        <f>VLOOKUP(G108,ColorTable[],3,FALSE)</f>
        <v>116</v>
      </c>
      <c r="J108" s="52" t="str">
        <f>VLOOKUP(G108,ColorTable[],4,FALSE)</f>
        <v>161</v>
      </c>
      <c r="K108" s="98"/>
      <c r="L108" s="47"/>
    </row>
    <row r="109" spans="1:12" x14ac:dyDescent="0.2">
      <c r="A109" s="46" t="s">
        <v>395</v>
      </c>
      <c r="B109" s="96" t="s">
        <v>348</v>
      </c>
      <c r="C109" s="96" t="s">
        <v>154</v>
      </c>
      <c r="D109" s="97" t="s">
        <v>77</v>
      </c>
      <c r="E109" s="96" t="s">
        <v>19</v>
      </c>
      <c r="F109" s="96" t="s">
        <v>373</v>
      </c>
      <c r="G109" s="47" t="s">
        <v>36</v>
      </c>
      <c r="H109" s="52" t="str">
        <f>VLOOKUP(G109,ColorTable[],2,FALSE)</f>
        <v>184</v>
      </c>
      <c r="I109" s="52" t="str">
        <f>VLOOKUP(G109,ColorTable[],3,FALSE)</f>
        <v>210</v>
      </c>
      <c r="J109" s="52" t="str">
        <f>VLOOKUP(G109,ColorTable[],4,FALSE)</f>
        <v>100</v>
      </c>
      <c r="K109" s="98"/>
      <c r="L109" s="47"/>
    </row>
    <row r="110" spans="1:12" x14ac:dyDescent="0.2">
      <c r="A110" s="46" t="s">
        <v>395</v>
      </c>
      <c r="B110" s="96" t="s">
        <v>348</v>
      </c>
      <c r="C110" s="96" t="s">
        <v>155</v>
      </c>
      <c r="D110" s="97" t="s">
        <v>78</v>
      </c>
      <c r="E110" s="96" t="s">
        <v>19</v>
      </c>
      <c r="F110" s="96" t="s">
        <v>373</v>
      </c>
      <c r="G110" s="47" t="s">
        <v>21</v>
      </c>
      <c r="H110" s="52" t="str">
        <f>VLOOKUP(G110,ColorTable[],2,FALSE)</f>
        <v>113</v>
      </c>
      <c r="I110" s="52" t="str">
        <f>VLOOKUP(G110,ColorTable[],3,FALSE)</f>
        <v>171</v>
      </c>
      <c r="J110" s="52" t="str">
        <f>VLOOKUP(G110,ColorTable[],4,FALSE)</f>
        <v>26</v>
      </c>
      <c r="K110" s="98"/>
      <c r="L110" s="47"/>
    </row>
    <row r="111" spans="1:12" x14ac:dyDescent="0.2">
      <c r="A111" s="46" t="s">
        <v>395</v>
      </c>
      <c r="B111" s="96" t="s">
        <v>348</v>
      </c>
      <c r="C111" s="96" t="s">
        <v>156</v>
      </c>
      <c r="D111" s="97" t="s">
        <v>79</v>
      </c>
      <c r="E111" s="96" t="s">
        <v>19</v>
      </c>
      <c r="F111" s="96" t="s">
        <v>373</v>
      </c>
      <c r="G111" s="47" t="s">
        <v>21</v>
      </c>
      <c r="H111" s="52" t="str">
        <f>VLOOKUP(G111,ColorTable[],2,FALSE)</f>
        <v>113</v>
      </c>
      <c r="I111" s="52" t="str">
        <f>VLOOKUP(G111,ColorTable[],3,FALSE)</f>
        <v>171</v>
      </c>
      <c r="J111" s="52" t="str">
        <f>VLOOKUP(G111,ColorTable[],4,FALSE)</f>
        <v>26</v>
      </c>
      <c r="K111" s="98"/>
      <c r="L111" s="47"/>
    </row>
    <row r="112" spans="1:12" x14ac:dyDescent="0.2">
      <c r="A112" s="46" t="s">
        <v>395</v>
      </c>
      <c r="B112" s="96" t="s">
        <v>349</v>
      </c>
      <c r="C112" s="96" t="s">
        <v>153</v>
      </c>
      <c r="D112" s="97" t="s">
        <v>245</v>
      </c>
      <c r="E112" s="96" t="s">
        <v>18</v>
      </c>
      <c r="F112" s="96" t="s">
        <v>374</v>
      </c>
      <c r="G112" s="47" t="s">
        <v>32</v>
      </c>
      <c r="H112" s="52" t="str">
        <f>VLOOKUP(G112,ColorTable[],2,FALSE)</f>
        <v>192</v>
      </c>
      <c r="I112" s="52" t="str">
        <f>VLOOKUP(G112,ColorTable[],3,FALSE)</f>
        <v>192</v>
      </c>
      <c r="J112" s="52" t="str">
        <f>VLOOKUP(G112,ColorTable[],4,FALSE)</f>
        <v>192</v>
      </c>
      <c r="K112" s="98"/>
      <c r="L112" s="47"/>
    </row>
    <row r="113" spans="1:12" x14ac:dyDescent="0.2">
      <c r="A113" s="46" t="s">
        <v>395</v>
      </c>
      <c r="B113" s="96" t="s">
        <v>349</v>
      </c>
      <c r="C113" s="96" t="s">
        <v>332</v>
      </c>
      <c r="D113" s="97" t="s">
        <v>130</v>
      </c>
      <c r="E113" s="96" t="s">
        <v>19</v>
      </c>
      <c r="F113" s="96" t="s">
        <v>374</v>
      </c>
      <c r="G113" s="47" t="s">
        <v>158</v>
      </c>
      <c r="H113" s="52" t="str">
        <f>VLOOKUP(G113,ColorTable[],2,FALSE)</f>
        <v>0</v>
      </c>
      <c r="I113" s="52" t="str">
        <f>VLOOKUP(G113,ColorTable[],3,FALSE)</f>
        <v>116</v>
      </c>
      <c r="J113" s="52" t="str">
        <f>VLOOKUP(G113,ColorTable[],4,FALSE)</f>
        <v>161</v>
      </c>
      <c r="K113" s="98"/>
      <c r="L113" s="47"/>
    </row>
    <row r="114" spans="1:12" x14ac:dyDescent="0.2">
      <c r="A114" s="46" t="s">
        <v>395</v>
      </c>
      <c r="B114" s="96" t="s">
        <v>349</v>
      </c>
      <c r="C114" s="96" t="s">
        <v>154</v>
      </c>
      <c r="D114" s="97" t="s">
        <v>80</v>
      </c>
      <c r="E114" s="96" t="s">
        <v>19</v>
      </c>
      <c r="F114" s="96" t="s">
        <v>374</v>
      </c>
      <c r="G114" s="47" t="s">
        <v>36</v>
      </c>
      <c r="H114" s="52" t="str">
        <f>VLOOKUP(G114,ColorTable[],2,FALSE)</f>
        <v>184</v>
      </c>
      <c r="I114" s="52" t="str">
        <f>VLOOKUP(G114,ColorTable[],3,FALSE)</f>
        <v>210</v>
      </c>
      <c r="J114" s="52" t="str">
        <f>VLOOKUP(G114,ColorTable[],4,FALSE)</f>
        <v>100</v>
      </c>
      <c r="K114" s="98"/>
      <c r="L114" s="47"/>
    </row>
    <row r="115" spans="1:12" x14ac:dyDescent="0.2">
      <c r="A115" s="46" t="s">
        <v>395</v>
      </c>
      <c r="B115" s="96" t="s">
        <v>349</v>
      </c>
      <c r="C115" s="96" t="s">
        <v>155</v>
      </c>
      <c r="D115" s="97" t="s">
        <v>81</v>
      </c>
      <c r="E115" s="96" t="s">
        <v>19</v>
      </c>
      <c r="F115" s="96" t="s">
        <v>374</v>
      </c>
      <c r="G115" s="47" t="s">
        <v>21</v>
      </c>
      <c r="H115" s="52" t="str">
        <f>VLOOKUP(G115,ColorTable[],2,FALSE)</f>
        <v>113</v>
      </c>
      <c r="I115" s="52" t="str">
        <f>VLOOKUP(G115,ColorTable[],3,FALSE)</f>
        <v>171</v>
      </c>
      <c r="J115" s="52" t="str">
        <f>VLOOKUP(G115,ColorTable[],4,FALSE)</f>
        <v>26</v>
      </c>
      <c r="K115" s="98"/>
      <c r="L115" s="47"/>
    </row>
    <row r="116" spans="1:12" x14ac:dyDescent="0.2">
      <c r="A116" s="46" t="s">
        <v>395</v>
      </c>
      <c r="B116" s="96" t="s">
        <v>349</v>
      </c>
      <c r="C116" s="96" t="s">
        <v>156</v>
      </c>
      <c r="D116" s="97" t="s">
        <v>82</v>
      </c>
      <c r="E116" s="96" t="s">
        <v>19</v>
      </c>
      <c r="F116" s="96" t="s">
        <v>374</v>
      </c>
      <c r="G116" s="47" t="s">
        <v>21</v>
      </c>
      <c r="H116" s="52" t="str">
        <f>VLOOKUP(G116,ColorTable[],2,FALSE)</f>
        <v>113</v>
      </c>
      <c r="I116" s="52" t="str">
        <f>VLOOKUP(G116,ColorTable[],3,FALSE)</f>
        <v>171</v>
      </c>
      <c r="J116" s="52" t="str">
        <f>VLOOKUP(G116,ColorTable[],4,FALSE)</f>
        <v>26</v>
      </c>
      <c r="K116" s="98"/>
      <c r="L116" s="47"/>
    </row>
    <row r="117" spans="1:12" x14ac:dyDescent="0.2">
      <c r="A117" s="46" t="s">
        <v>395</v>
      </c>
      <c r="B117" s="96" t="s">
        <v>350</v>
      </c>
      <c r="C117" s="96" t="s">
        <v>153</v>
      </c>
      <c r="D117" s="97" t="s">
        <v>246</v>
      </c>
      <c r="E117" s="96" t="s">
        <v>18</v>
      </c>
      <c r="F117" s="96" t="s">
        <v>375</v>
      </c>
      <c r="G117" s="47" t="s">
        <v>32</v>
      </c>
      <c r="H117" s="52" t="str">
        <f>VLOOKUP(G117,ColorTable[],2,FALSE)</f>
        <v>192</v>
      </c>
      <c r="I117" s="52" t="str">
        <f>VLOOKUP(G117,ColorTable[],3,FALSE)</f>
        <v>192</v>
      </c>
      <c r="J117" s="52" t="str">
        <f>VLOOKUP(G117,ColorTable[],4,FALSE)</f>
        <v>192</v>
      </c>
      <c r="K117" s="98"/>
      <c r="L117" s="47"/>
    </row>
    <row r="118" spans="1:12" x14ac:dyDescent="0.2">
      <c r="A118" s="46" t="s">
        <v>395</v>
      </c>
      <c r="B118" s="96" t="s">
        <v>350</v>
      </c>
      <c r="C118" s="96" t="s">
        <v>332</v>
      </c>
      <c r="D118" s="97" t="s">
        <v>131</v>
      </c>
      <c r="E118" s="96" t="s">
        <v>19</v>
      </c>
      <c r="F118" s="96" t="s">
        <v>375</v>
      </c>
      <c r="G118" s="47" t="s">
        <v>158</v>
      </c>
      <c r="H118" s="52" t="str">
        <f>VLOOKUP(G118,ColorTable[],2,FALSE)</f>
        <v>0</v>
      </c>
      <c r="I118" s="52" t="str">
        <f>VLOOKUP(G118,ColorTable[],3,FALSE)</f>
        <v>116</v>
      </c>
      <c r="J118" s="52" t="str">
        <f>VLOOKUP(G118,ColorTable[],4,FALSE)</f>
        <v>161</v>
      </c>
      <c r="K118" s="98"/>
      <c r="L118" s="47"/>
    </row>
    <row r="119" spans="1:12" x14ac:dyDescent="0.2">
      <c r="A119" s="46" t="s">
        <v>395</v>
      </c>
      <c r="B119" s="96" t="s">
        <v>350</v>
      </c>
      <c r="C119" s="96" t="s">
        <v>154</v>
      </c>
      <c r="D119" s="97" t="s">
        <v>83</v>
      </c>
      <c r="E119" s="96" t="s">
        <v>19</v>
      </c>
      <c r="F119" s="96" t="s">
        <v>375</v>
      </c>
      <c r="G119" s="47" t="s">
        <v>36</v>
      </c>
      <c r="H119" s="52" t="str">
        <f>VLOOKUP(G119,ColorTable[],2,FALSE)</f>
        <v>184</v>
      </c>
      <c r="I119" s="52" t="str">
        <f>VLOOKUP(G119,ColorTable[],3,FALSE)</f>
        <v>210</v>
      </c>
      <c r="J119" s="52" t="str">
        <f>VLOOKUP(G119,ColorTable[],4,FALSE)</f>
        <v>100</v>
      </c>
      <c r="K119" s="98"/>
      <c r="L119" s="47"/>
    </row>
    <row r="120" spans="1:12" x14ac:dyDescent="0.2">
      <c r="A120" s="46" t="s">
        <v>395</v>
      </c>
      <c r="B120" s="96" t="s">
        <v>350</v>
      </c>
      <c r="C120" s="96" t="s">
        <v>155</v>
      </c>
      <c r="D120" s="97" t="s">
        <v>84</v>
      </c>
      <c r="E120" s="96" t="s">
        <v>19</v>
      </c>
      <c r="F120" s="96" t="s">
        <v>375</v>
      </c>
      <c r="G120" s="47" t="s">
        <v>21</v>
      </c>
      <c r="H120" s="52" t="str">
        <f>VLOOKUP(G120,ColorTable[],2,FALSE)</f>
        <v>113</v>
      </c>
      <c r="I120" s="52" t="str">
        <f>VLOOKUP(G120,ColorTable[],3,FALSE)</f>
        <v>171</v>
      </c>
      <c r="J120" s="52" t="str">
        <f>VLOOKUP(G120,ColorTable[],4,FALSE)</f>
        <v>26</v>
      </c>
      <c r="K120" s="98"/>
      <c r="L120" s="47"/>
    </row>
    <row r="121" spans="1:12" x14ac:dyDescent="0.2">
      <c r="A121" s="46" t="s">
        <v>395</v>
      </c>
      <c r="B121" s="96" t="s">
        <v>350</v>
      </c>
      <c r="C121" s="96" t="s">
        <v>156</v>
      </c>
      <c r="D121" s="97" t="s">
        <v>85</v>
      </c>
      <c r="E121" s="96" t="s">
        <v>19</v>
      </c>
      <c r="F121" s="96" t="s">
        <v>375</v>
      </c>
      <c r="G121" s="47" t="s">
        <v>21</v>
      </c>
      <c r="H121" s="52" t="str">
        <f>VLOOKUP(G121,ColorTable[],2,FALSE)</f>
        <v>113</v>
      </c>
      <c r="I121" s="52" t="str">
        <f>VLOOKUP(G121,ColorTable[],3,FALSE)</f>
        <v>171</v>
      </c>
      <c r="J121" s="52" t="str">
        <f>VLOOKUP(G121,ColorTable[],4,FALSE)</f>
        <v>26</v>
      </c>
      <c r="K121" s="98"/>
      <c r="L121" s="47"/>
    </row>
    <row r="122" spans="1:12" x14ac:dyDescent="0.2">
      <c r="A122" s="46" t="s">
        <v>395</v>
      </c>
      <c r="B122" s="96" t="s">
        <v>351</v>
      </c>
      <c r="C122" s="96" t="s">
        <v>153</v>
      </c>
      <c r="D122" s="97" t="s">
        <v>247</v>
      </c>
      <c r="E122" s="96" t="s">
        <v>18</v>
      </c>
      <c r="F122" s="96" t="s">
        <v>376</v>
      </c>
      <c r="G122" s="47" t="s">
        <v>32</v>
      </c>
      <c r="H122" s="52" t="str">
        <f>VLOOKUP(G122,ColorTable[],2,FALSE)</f>
        <v>192</v>
      </c>
      <c r="I122" s="52" t="str">
        <f>VLOOKUP(G122,ColorTable[],3,FALSE)</f>
        <v>192</v>
      </c>
      <c r="J122" s="52" t="str">
        <f>VLOOKUP(G122,ColorTable[],4,FALSE)</f>
        <v>192</v>
      </c>
      <c r="K122" s="98"/>
      <c r="L122" s="47"/>
    </row>
    <row r="123" spans="1:12" x14ac:dyDescent="0.2">
      <c r="A123" s="46" t="s">
        <v>395</v>
      </c>
      <c r="B123" s="96" t="s">
        <v>351</v>
      </c>
      <c r="C123" s="96" t="s">
        <v>332</v>
      </c>
      <c r="D123" s="97" t="s">
        <v>146</v>
      </c>
      <c r="E123" s="96" t="s">
        <v>19</v>
      </c>
      <c r="F123" s="96" t="s">
        <v>376</v>
      </c>
      <c r="G123" s="47" t="s">
        <v>158</v>
      </c>
      <c r="H123" s="52" t="str">
        <f>VLOOKUP(G123,ColorTable[],2,FALSE)</f>
        <v>0</v>
      </c>
      <c r="I123" s="52" t="str">
        <f>VLOOKUP(G123,ColorTable[],3,FALSE)</f>
        <v>116</v>
      </c>
      <c r="J123" s="52" t="str">
        <f>VLOOKUP(G123,ColorTable[],4,FALSE)</f>
        <v>161</v>
      </c>
      <c r="K123" s="98"/>
      <c r="L123" s="47"/>
    </row>
    <row r="124" spans="1:12" x14ac:dyDescent="0.2">
      <c r="A124" s="46" t="s">
        <v>395</v>
      </c>
      <c r="B124" s="96" t="s">
        <v>351</v>
      </c>
      <c r="C124" s="96" t="s">
        <v>154</v>
      </c>
      <c r="D124" s="97" t="s">
        <v>143</v>
      </c>
      <c r="E124" s="96" t="s">
        <v>19</v>
      </c>
      <c r="F124" s="96" t="s">
        <v>376</v>
      </c>
      <c r="G124" s="47" t="s">
        <v>36</v>
      </c>
      <c r="H124" s="52" t="str">
        <f>VLOOKUP(G124,ColorTable[],2,FALSE)</f>
        <v>184</v>
      </c>
      <c r="I124" s="52" t="str">
        <f>VLOOKUP(G124,ColorTable[],3,FALSE)</f>
        <v>210</v>
      </c>
      <c r="J124" s="52" t="str">
        <f>VLOOKUP(G124,ColorTable[],4,FALSE)</f>
        <v>100</v>
      </c>
      <c r="K124" s="98"/>
      <c r="L124" s="47"/>
    </row>
    <row r="125" spans="1:12" x14ac:dyDescent="0.2">
      <c r="A125" s="46" t="s">
        <v>395</v>
      </c>
      <c r="B125" s="96" t="s">
        <v>351</v>
      </c>
      <c r="C125" s="96" t="s">
        <v>155</v>
      </c>
      <c r="D125" s="97" t="s">
        <v>144</v>
      </c>
      <c r="E125" s="96" t="s">
        <v>19</v>
      </c>
      <c r="F125" s="96" t="s">
        <v>376</v>
      </c>
      <c r="G125" s="47" t="s">
        <v>21</v>
      </c>
      <c r="H125" s="52" t="str">
        <f>VLOOKUP(G125,ColorTable[],2,FALSE)</f>
        <v>113</v>
      </c>
      <c r="I125" s="52" t="str">
        <f>VLOOKUP(G125,ColorTable[],3,FALSE)</f>
        <v>171</v>
      </c>
      <c r="J125" s="52" t="str">
        <f>VLOOKUP(G125,ColorTable[],4,FALSE)</f>
        <v>26</v>
      </c>
      <c r="K125" s="98"/>
      <c r="L125" s="47"/>
    </row>
    <row r="126" spans="1:12" x14ac:dyDescent="0.2">
      <c r="A126" s="46" t="s">
        <v>395</v>
      </c>
      <c r="B126" s="96" t="s">
        <v>351</v>
      </c>
      <c r="C126" s="96" t="s">
        <v>156</v>
      </c>
      <c r="D126" s="97" t="s">
        <v>145</v>
      </c>
      <c r="E126" s="96" t="s">
        <v>19</v>
      </c>
      <c r="F126" s="96" t="s">
        <v>376</v>
      </c>
      <c r="G126" s="47" t="s">
        <v>21</v>
      </c>
      <c r="H126" s="52" t="str">
        <f>VLOOKUP(G126,ColorTable[],2,FALSE)</f>
        <v>113</v>
      </c>
      <c r="I126" s="52" t="str">
        <f>VLOOKUP(G126,ColorTable[],3,FALSE)</f>
        <v>171</v>
      </c>
      <c r="J126" s="52" t="str">
        <f>VLOOKUP(G126,ColorTable[],4,FALSE)</f>
        <v>26</v>
      </c>
      <c r="K126" s="98"/>
      <c r="L126" s="47"/>
    </row>
    <row r="127" spans="1:12" x14ac:dyDescent="0.2">
      <c r="A127" s="46" t="s">
        <v>395</v>
      </c>
      <c r="B127" s="96" t="s">
        <v>352</v>
      </c>
      <c r="C127" s="96" t="s">
        <v>153</v>
      </c>
      <c r="D127" s="97" t="s">
        <v>248</v>
      </c>
      <c r="E127" s="96" t="s">
        <v>18</v>
      </c>
      <c r="F127" s="96" t="s">
        <v>377</v>
      </c>
      <c r="G127" s="47" t="s">
        <v>32</v>
      </c>
      <c r="H127" s="52" t="str">
        <f>VLOOKUP(G127,ColorTable[],2,FALSE)</f>
        <v>192</v>
      </c>
      <c r="I127" s="52" t="str">
        <f>VLOOKUP(G127,ColorTable[],3,FALSE)</f>
        <v>192</v>
      </c>
      <c r="J127" s="52" t="str">
        <f>VLOOKUP(G127,ColorTable[],4,FALSE)</f>
        <v>192</v>
      </c>
      <c r="K127" s="99">
        <v>43019.482071759259</v>
      </c>
      <c r="L127" s="47" t="s">
        <v>414</v>
      </c>
    </row>
    <row r="128" spans="1:12" x14ac:dyDescent="0.2">
      <c r="A128" s="46" t="s">
        <v>395</v>
      </c>
      <c r="B128" s="96" t="s">
        <v>352</v>
      </c>
      <c r="C128" s="96" t="s">
        <v>332</v>
      </c>
      <c r="D128" s="97" t="s">
        <v>183</v>
      </c>
      <c r="E128" s="96" t="s">
        <v>19</v>
      </c>
      <c r="F128" s="96" t="s">
        <v>377</v>
      </c>
      <c r="G128" s="47" t="s">
        <v>158</v>
      </c>
      <c r="H128" s="52" t="str">
        <f>VLOOKUP(G128,ColorTable[],2,FALSE)</f>
        <v>0</v>
      </c>
      <c r="I128" s="52" t="str">
        <f>VLOOKUP(G128,ColorTable[],3,FALSE)</f>
        <v>116</v>
      </c>
      <c r="J128" s="52" t="str">
        <f>VLOOKUP(G128,ColorTable[],4,FALSE)</f>
        <v>161</v>
      </c>
      <c r="K128" s="99">
        <v>43019.333680555559</v>
      </c>
      <c r="L128" s="47" t="s">
        <v>414</v>
      </c>
    </row>
    <row r="129" spans="1:12" x14ac:dyDescent="0.2">
      <c r="A129" s="46" t="s">
        <v>395</v>
      </c>
      <c r="B129" s="96" t="s">
        <v>352</v>
      </c>
      <c r="C129" s="96" t="s">
        <v>154</v>
      </c>
      <c r="D129" s="97" t="s">
        <v>184</v>
      </c>
      <c r="E129" s="96" t="s">
        <v>19</v>
      </c>
      <c r="F129" s="96" t="s">
        <v>377</v>
      </c>
      <c r="G129" s="47" t="s">
        <v>36</v>
      </c>
      <c r="H129" s="52" t="str">
        <f>VLOOKUP(G129,ColorTable[],2,FALSE)</f>
        <v>184</v>
      </c>
      <c r="I129" s="52" t="str">
        <f>VLOOKUP(G129,ColorTable[],3,FALSE)</f>
        <v>210</v>
      </c>
      <c r="J129" s="52" t="str">
        <f>VLOOKUP(G129,ColorTable[],4,FALSE)</f>
        <v>100</v>
      </c>
      <c r="K129" s="98"/>
      <c r="L129" s="47"/>
    </row>
    <row r="130" spans="1:12" x14ac:dyDescent="0.2">
      <c r="A130" s="46" t="s">
        <v>395</v>
      </c>
      <c r="B130" s="96" t="s">
        <v>352</v>
      </c>
      <c r="C130" s="96" t="s">
        <v>155</v>
      </c>
      <c r="D130" s="97" t="s">
        <v>185</v>
      </c>
      <c r="E130" s="96" t="s">
        <v>19</v>
      </c>
      <c r="F130" s="96" t="s">
        <v>377</v>
      </c>
      <c r="G130" s="47" t="s">
        <v>21</v>
      </c>
      <c r="H130" s="52" t="str">
        <f>VLOOKUP(G130,ColorTable[],2,FALSE)</f>
        <v>113</v>
      </c>
      <c r="I130" s="52" t="str">
        <f>VLOOKUP(G130,ColorTable[],3,FALSE)</f>
        <v>171</v>
      </c>
      <c r="J130" s="52" t="str">
        <f>VLOOKUP(G130,ColorTable[],4,FALSE)</f>
        <v>26</v>
      </c>
      <c r="K130" s="98"/>
      <c r="L130" s="47"/>
    </row>
    <row r="131" spans="1:12" x14ac:dyDescent="0.2">
      <c r="A131" s="46" t="s">
        <v>395</v>
      </c>
      <c r="B131" s="96" t="s">
        <v>352</v>
      </c>
      <c r="C131" s="96" t="s">
        <v>156</v>
      </c>
      <c r="D131" s="97" t="s">
        <v>186</v>
      </c>
      <c r="E131" s="96" t="s">
        <v>19</v>
      </c>
      <c r="F131" s="96" t="s">
        <v>377</v>
      </c>
      <c r="G131" s="47" t="s">
        <v>21</v>
      </c>
      <c r="H131" s="52" t="str">
        <f>VLOOKUP(G131,ColorTable[],2,FALSE)</f>
        <v>113</v>
      </c>
      <c r="I131" s="52" t="str">
        <f>VLOOKUP(G131,ColorTable[],3,FALSE)</f>
        <v>171</v>
      </c>
      <c r="J131" s="52" t="str">
        <f>VLOOKUP(G131,ColorTable[],4,FALSE)</f>
        <v>26</v>
      </c>
      <c r="K131" s="98"/>
      <c r="L131" s="47"/>
    </row>
    <row r="132" spans="1:12" x14ac:dyDescent="0.2">
      <c r="A132" s="46" t="s">
        <v>395</v>
      </c>
      <c r="B132" s="96" t="s">
        <v>353</v>
      </c>
      <c r="C132" s="96" t="s">
        <v>153</v>
      </c>
      <c r="D132" s="97" t="s">
        <v>249</v>
      </c>
      <c r="E132" s="96" t="s">
        <v>18</v>
      </c>
      <c r="F132" s="96" t="s">
        <v>378</v>
      </c>
      <c r="G132" s="47" t="s">
        <v>32</v>
      </c>
      <c r="H132" s="52" t="str">
        <f>VLOOKUP(G132,ColorTable[],2,FALSE)</f>
        <v>192</v>
      </c>
      <c r="I132" s="52" t="str">
        <f>VLOOKUP(G132,ColorTable[],3,FALSE)</f>
        <v>192</v>
      </c>
      <c r="J132" s="52" t="str">
        <f>VLOOKUP(G132,ColorTable[],4,FALSE)</f>
        <v>192</v>
      </c>
      <c r="K132" s="98"/>
      <c r="L132" s="47"/>
    </row>
    <row r="133" spans="1:12" x14ac:dyDescent="0.2">
      <c r="A133" s="46" t="s">
        <v>395</v>
      </c>
      <c r="B133" s="96" t="s">
        <v>353</v>
      </c>
      <c r="C133" s="96" t="s">
        <v>332</v>
      </c>
      <c r="D133" s="97" t="s">
        <v>187</v>
      </c>
      <c r="E133" s="96" t="s">
        <v>19</v>
      </c>
      <c r="F133" s="96" t="s">
        <v>378</v>
      </c>
      <c r="G133" s="47" t="s">
        <v>158</v>
      </c>
      <c r="H133" s="52" t="str">
        <f>VLOOKUP(G133,ColorTable[],2,FALSE)</f>
        <v>0</v>
      </c>
      <c r="I133" s="52" t="str">
        <f>VLOOKUP(G133,ColorTable[],3,FALSE)</f>
        <v>116</v>
      </c>
      <c r="J133" s="52" t="str">
        <f>VLOOKUP(G133,ColorTable[],4,FALSE)</f>
        <v>161</v>
      </c>
      <c r="K133" s="98"/>
      <c r="L133" s="47"/>
    </row>
    <row r="134" spans="1:12" x14ac:dyDescent="0.2">
      <c r="A134" s="46" t="s">
        <v>395</v>
      </c>
      <c r="B134" s="96" t="s">
        <v>353</v>
      </c>
      <c r="C134" s="96" t="s">
        <v>154</v>
      </c>
      <c r="D134" s="97" t="s">
        <v>188</v>
      </c>
      <c r="E134" s="96" t="s">
        <v>19</v>
      </c>
      <c r="F134" s="96" t="s">
        <v>378</v>
      </c>
      <c r="G134" s="47" t="s">
        <v>36</v>
      </c>
      <c r="H134" s="52" t="str">
        <f>VLOOKUP(G134,ColorTable[],2,FALSE)</f>
        <v>184</v>
      </c>
      <c r="I134" s="52" t="str">
        <f>VLOOKUP(G134,ColorTable[],3,FALSE)</f>
        <v>210</v>
      </c>
      <c r="J134" s="52" t="str">
        <f>VLOOKUP(G134,ColorTable[],4,FALSE)</f>
        <v>100</v>
      </c>
      <c r="K134" s="98"/>
      <c r="L134" s="47"/>
    </row>
    <row r="135" spans="1:12" x14ac:dyDescent="0.2">
      <c r="A135" s="46" t="s">
        <v>395</v>
      </c>
      <c r="B135" s="96" t="s">
        <v>353</v>
      </c>
      <c r="C135" s="96" t="s">
        <v>155</v>
      </c>
      <c r="D135" s="97" t="s">
        <v>189</v>
      </c>
      <c r="E135" s="96" t="s">
        <v>19</v>
      </c>
      <c r="F135" s="96" t="s">
        <v>378</v>
      </c>
      <c r="G135" s="47" t="s">
        <v>21</v>
      </c>
      <c r="H135" s="52" t="str">
        <f>VLOOKUP(G135,ColorTable[],2,FALSE)</f>
        <v>113</v>
      </c>
      <c r="I135" s="52" t="str">
        <f>VLOOKUP(G135,ColorTable[],3,FALSE)</f>
        <v>171</v>
      </c>
      <c r="J135" s="52" t="str">
        <f>VLOOKUP(G135,ColorTable[],4,FALSE)</f>
        <v>26</v>
      </c>
      <c r="K135" s="98"/>
      <c r="L135" s="47"/>
    </row>
    <row r="136" spans="1:12" x14ac:dyDescent="0.2">
      <c r="A136" s="46" t="s">
        <v>395</v>
      </c>
      <c r="B136" s="96" t="s">
        <v>353</v>
      </c>
      <c r="C136" s="96" t="s">
        <v>156</v>
      </c>
      <c r="D136" s="97" t="s">
        <v>190</v>
      </c>
      <c r="E136" s="96" t="s">
        <v>19</v>
      </c>
      <c r="F136" s="96" t="s">
        <v>378</v>
      </c>
      <c r="G136" s="47" t="s">
        <v>21</v>
      </c>
      <c r="H136" s="52" t="str">
        <f>VLOOKUP(G136,ColorTable[],2,FALSE)</f>
        <v>113</v>
      </c>
      <c r="I136" s="52" t="str">
        <f>VLOOKUP(G136,ColorTable[],3,FALSE)</f>
        <v>171</v>
      </c>
      <c r="J136" s="52" t="str">
        <f>VLOOKUP(G136,ColorTable[],4,FALSE)</f>
        <v>26</v>
      </c>
      <c r="K136" s="98"/>
      <c r="L136" s="47"/>
    </row>
    <row r="137" spans="1:12" x14ac:dyDescent="0.2">
      <c r="A137" s="46" t="s">
        <v>395</v>
      </c>
      <c r="B137" s="96" t="s">
        <v>354</v>
      </c>
      <c r="C137" s="96" t="s">
        <v>153</v>
      </c>
      <c r="D137" s="97" t="s">
        <v>250</v>
      </c>
      <c r="E137" s="96" t="s">
        <v>18</v>
      </c>
      <c r="F137" s="96" t="s">
        <v>379</v>
      </c>
      <c r="G137" s="47" t="s">
        <v>32</v>
      </c>
      <c r="H137" s="52" t="str">
        <f>VLOOKUP(G137,ColorTable[],2,FALSE)</f>
        <v>192</v>
      </c>
      <c r="I137" s="52" t="str">
        <f>VLOOKUP(G137,ColorTable[],3,FALSE)</f>
        <v>192</v>
      </c>
      <c r="J137" s="52" t="str">
        <f>VLOOKUP(G137,ColorTable[],4,FALSE)</f>
        <v>192</v>
      </c>
      <c r="K137" s="98"/>
      <c r="L137" s="47"/>
    </row>
    <row r="138" spans="1:12" x14ac:dyDescent="0.2">
      <c r="A138" s="46" t="s">
        <v>395</v>
      </c>
      <c r="B138" s="96" t="s">
        <v>354</v>
      </c>
      <c r="C138" s="96" t="s">
        <v>332</v>
      </c>
      <c r="D138" s="97" t="s">
        <v>191</v>
      </c>
      <c r="E138" s="96" t="s">
        <v>19</v>
      </c>
      <c r="F138" s="96" t="s">
        <v>379</v>
      </c>
      <c r="G138" s="47" t="s">
        <v>158</v>
      </c>
      <c r="H138" s="52" t="str">
        <f>VLOOKUP(G138,ColorTable[],2,FALSE)</f>
        <v>0</v>
      </c>
      <c r="I138" s="52" t="str">
        <f>VLOOKUP(G138,ColorTable[],3,FALSE)</f>
        <v>116</v>
      </c>
      <c r="J138" s="52" t="str">
        <f>VLOOKUP(G138,ColorTable[],4,FALSE)</f>
        <v>161</v>
      </c>
      <c r="K138" s="98"/>
      <c r="L138" s="47"/>
    </row>
    <row r="139" spans="1:12" x14ac:dyDescent="0.2">
      <c r="A139" s="46" t="s">
        <v>395</v>
      </c>
      <c r="B139" s="96" t="s">
        <v>354</v>
      </c>
      <c r="C139" s="96" t="s">
        <v>154</v>
      </c>
      <c r="D139" s="97" t="s">
        <v>192</v>
      </c>
      <c r="E139" s="96" t="s">
        <v>19</v>
      </c>
      <c r="F139" s="96" t="s">
        <v>379</v>
      </c>
      <c r="G139" s="47" t="s">
        <v>36</v>
      </c>
      <c r="H139" s="52" t="str">
        <f>VLOOKUP(G139,ColorTable[],2,FALSE)</f>
        <v>184</v>
      </c>
      <c r="I139" s="52" t="str">
        <f>VLOOKUP(G139,ColorTable[],3,FALSE)</f>
        <v>210</v>
      </c>
      <c r="J139" s="52" t="str">
        <f>VLOOKUP(G139,ColorTable[],4,FALSE)</f>
        <v>100</v>
      </c>
      <c r="K139" s="98"/>
      <c r="L139" s="47"/>
    </row>
    <row r="140" spans="1:12" x14ac:dyDescent="0.2">
      <c r="A140" s="46" t="s">
        <v>395</v>
      </c>
      <c r="B140" s="96" t="s">
        <v>354</v>
      </c>
      <c r="C140" s="96" t="s">
        <v>155</v>
      </c>
      <c r="D140" s="97" t="s">
        <v>193</v>
      </c>
      <c r="E140" s="96" t="s">
        <v>19</v>
      </c>
      <c r="F140" s="96" t="s">
        <v>379</v>
      </c>
      <c r="G140" s="47" t="s">
        <v>21</v>
      </c>
      <c r="H140" s="52" t="str">
        <f>VLOOKUP(G140,ColorTable[],2,FALSE)</f>
        <v>113</v>
      </c>
      <c r="I140" s="52" t="str">
        <f>VLOOKUP(G140,ColorTable[],3,FALSE)</f>
        <v>171</v>
      </c>
      <c r="J140" s="52" t="str">
        <f>VLOOKUP(G140,ColorTable[],4,FALSE)</f>
        <v>26</v>
      </c>
      <c r="K140" s="98"/>
      <c r="L140" s="47"/>
    </row>
    <row r="141" spans="1:12" x14ac:dyDescent="0.2">
      <c r="A141" s="46" t="s">
        <v>395</v>
      </c>
      <c r="B141" s="96" t="s">
        <v>354</v>
      </c>
      <c r="C141" s="96" t="s">
        <v>156</v>
      </c>
      <c r="D141" s="97" t="s">
        <v>194</v>
      </c>
      <c r="E141" s="96" t="s">
        <v>19</v>
      </c>
      <c r="F141" s="96" t="s">
        <v>379</v>
      </c>
      <c r="G141" s="47" t="s">
        <v>21</v>
      </c>
      <c r="H141" s="52" t="str">
        <f>VLOOKUP(G141,ColorTable[],2,FALSE)</f>
        <v>113</v>
      </c>
      <c r="I141" s="52" t="str">
        <f>VLOOKUP(G141,ColorTable[],3,FALSE)</f>
        <v>171</v>
      </c>
      <c r="J141" s="52" t="str">
        <f>VLOOKUP(G141,ColorTable[],4,FALSE)</f>
        <v>26</v>
      </c>
      <c r="K141" s="98"/>
      <c r="L141" s="47"/>
    </row>
    <row r="142" spans="1:12" x14ac:dyDescent="0.2">
      <c r="A142" s="46" t="s">
        <v>395</v>
      </c>
      <c r="B142" s="96" t="s">
        <v>355</v>
      </c>
      <c r="C142" s="96" t="s">
        <v>153</v>
      </c>
      <c r="D142" s="97" t="s">
        <v>251</v>
      </c>
      <c r="E142" s="96" t="s">
        <v>18</v>
      </c>
      <c r="F142" s="96" t="s">
        <v>380</v>
      </c>
      <c r="G142" s="47" t="s">
        <v>32</v>
      </c>
      <c r="H142" s="52" t="str">
        <f>VLOOKUP(G142,ColorTable[],2,FALSE)</f>
        <v>192</v>
      </c>
      <c r="I142" s="52" t="str">
        <f>VLOOKUP(G142,ColorTable[],3,FALSE)</f>
        <v>192</v>
      </c>
      <c r="J142" s="52" t="str">
        <f>VLOOKUP(G142,ColorTable[],4,FALSE)</f>
        <v>192</v>
      </c>
      <c r="K142" s="98"/>
      <c r="L142" s="47"/>
    </row>
    <row r="143" spans="1:12" x14ac:dyDescent="0.2">
      <c r="A143" s="46" t="s">
        <v>395</v>
      </c>
      <c r="B143" s="96" t="s">
        <v>355</v>
      </c>
      <c r="C143" s="96" t="s">
        <v>332</v>
      </c>
      <c r="D143" s="97" t="s">
        <v>195</v>
      </c>
      <c r="E143" s="96" t="s">
        <v>19</v>
      </c>
      <c r="F143" s="96" t="s">
        <v>380</v>
      </c>
      <c r="G143" s="47" t="s">
        <v>158</v>
      </c>
      <c r="H143" s="52" t="str">
        <f>VLOOKUP(G143,ColorTable[],2,FALSE)</f>
        <v>0</v>
      </c>
      <c r="I143" s="52" t="str">
        <f>VLOOKUP(G143,ColorTable[],3,FALSE)</f>
        <v>116</v>
      </c>
      <c r="J143" s="52" t="str">
        <f>VLOOKUP(G143,ColorTable[],4,FALSE)</f>
        <v>161</v>
      </c>
      <c r="K143" s="98"/>
      <c r="L143" s="47"/>
    </row>
    <row r="144" spans="1:12" x14ac:dyDescent="0.2">
      <c r="A144" s="46" t="s">
        <v>395</v>
      </c>
      <c r="B144" s="96" t="s">
        <v>355</v>
      </c>
      <c r="C144" s="96" t="s">
        <v>154</v>
      </c>
      <c r="D144" s="97" t="s">
        <v>196</v>
      </c>
      <c r="E144" s="96" t="s">
        <v>19</v>
      </c>
      <c r="F144" s="96" t="s">
        <v>380</v>
      </c>
      <c r="G144" s="47" t="s">
        <v>36</v>
      </c>
      <c r="H144" s="52" t="str">
        <f>VLOOKUP(G144,ColorTable[],2,FALSE)</f>
        <v>184</v>
      </c>
      <c r="I144" s="52" t="str">
        <f>VLOOKUP(G144,ColorTable[],3,FALSE)</f>
        <v>210</v>
      </c>
      <c r="J144" s="52" t="str">
        <f>VLOOKUP(G144,ColorTable[],4,FALSE)</f>
        <v>100</v>
      </c>
      <c r="K144" s="98"/>
      <c r="L144" s="47"/>
    </row>
    <row r="145" spans="1:12" x14ac:dyDescent="0.2">
      <c r="A145" s="46" t="s">
        <v>395</v>
      </c>
      <c r="B145" s="96" t="s">
        <v>355</v>
      </c>
      <c r="C145" s="96" t="s">
        <v>155</v>
      </c>
      <c r="D145" s="97" t="s">
        <v>197</v>
      </c>
      <c r="E145" s="96" t="s">
        <v>19</v>
      </c>
      <c r="F145" s="96" t="s">
        <v>380</v>
      </c>
      <c r="G145" s="47" t="s">
        <v>21</v>
      </c>
      <c r="H145" s="52" t="str">
        <f>VLOOKUP(G145,ColorTable[],2,FALSE)</f>
        <v>113</v>
      </c>
      <c r="I145" s="52" t="str">
        <f>VLOOKUP(G145,ColorTable[],3,FALSE)</f>
        <v>171</v>
      </c>
      <c r="J145" s="52" t="str">
        <f>VLOOKUP(G145,ColorTable[],4,FALSE)</f>
        <v>26</v>
      </c>
      <c r="K145" s="98"/>
      <c r="L145" s="47"/>
    </row>
    <row r="146" spans="1:12" x14ac:dyDescent="0.2">
      <c r="A146" s="46" t="s">
        <v>395</v>
      </c>
      <c r="B146" s="96" t="s">
        <v>355</v>
      </c>
      <c r="C146" s="96" t="s">
        <v>156</v>
      </c>
      <c r="D146" s="97" t="s">
        <v>198</v>
      </c>
      <c r="E146" s="96" t="s">
        <v>19</v>
      </c>
      <c r="F146" s="96" t="s">
        <v>380</v>
      </c>
      <c r="G146" s="47" t="s">
        <v>21</v>
      </c>
      <c r="H146" s="52" t="str">
        <f>VLOOKUP(G146,ColorTable[],2,FALSE)</f>
        <v>113</v>
      </c>
      <c r="I146" s="52" t="str">
        <f>VLOOKUP(G146,ColorTable[],3,FALSE)</f>
        <v>171</v>
      </c>
      <c r="J146" s="52" t="str">
        <f>VLOOKUP(G146,ColorTable[],4,FALSE)</f>
        <v>26</v>
      </c>
      <c r="K146" s="98"/>
      <c r="L146" s="47"/>
    </row>
    <row r="147" spans="1:12" x14ac:dyDescent="0.2">
      <c r="A147" s="46" t="s">
        <v>395</v>
      </c>
      <c r="B147" s="96" t="s">
        <v>361</v>
      </c>
      <c r="C147" s="96" t="s">
        <v>153</v>
      </c>
      <c r="D147" s="97" t="s">
        <v>252</v>
      </c>
      <c r="E147" s="96" t="s">
        <v>18</v>
      </c>
      <c r="F147" s="96" t="s">
        <v>384</v>
      </c>
      <c r="G147" s="47" t="s">
        <v>32</v>
      </c>
      <c r="H147" s="52" t="str">
        <f>VLOOKUP(G147,ColorTable[],2,FALSE)</f>
        <v>192</v>
      </c>
      <c r="I147" s="52" t="str">
        <f>VLOOKUP(G147,ColorTable[],3,FALSE)</f>
        <v>192</v>
      </c>
      <c r="J147" s="52" t="str">
        <f>VLOOKUP(G147,ColorTable[],4,FALSE)</f>
        <v>192</v>
      </c>
      <c r="K147" s="98"/>
      <c r="L147" s="47"/>
    </row>
    <row r="148" spans="1:12" x14ac:dyDescent="0.2">
      <c r="A148" s="46" t="s">
        <v>395</v>
      </c>
      <c r="B148" s="96" t="s">
        <v>361</v>
      </c>
      <c r="C148" s="96" t="s">
        <v>332</v>
      </c>
      <c r="D148" s="97" t="s">
        <v>199</v>
      </c>
      <c r="E148" s="96" t="s">
        <v>19</v>
      </c>
      <c r="F148" s="96" t="s">
        <v>384</v>
      </c>
      <c r="G148" s="47" t="s">
        <v>158</v>
      </c>
      <c r="H148" s="52" t="str">
        <f>VLOOKUP(G148,ColorTable[],2,FALSE)</f>
        <v>0</v>
      </c>
      <c r="I148" s="52" t="str">
        <f>VLOOKUP(G148,ColorTable[],3,FALSE)</f>
        <v>116</v>
      </c>
      <c r="J148" s="52" t="str">
        <f>VLOOKUP(G148,ColorTable[],4,FALSE)</f>
        <v>161</v>
      </c>
      <c r="K148" s="98"/>
      <c r="L148" s="47"/>
    </row>
    <row r="149" spans="1:12" x14ac:dyDescent="0.2">
      <c r="A149" s="46" t="s">
        <v>395</v>
      </c>
      <c r="B149" s="96" t="s">
        <v>361</v>
      </c>
      <c r="C149" s="96" t="s">
        <v>154</v>
      </c>
      <c r="D149" s="97" t="s">
        <v>200</v>
      </c>
      <c r="E149" s="96" t="s">
        <v>19</v>
      </c>
      <c r="F149" s="96" t="s">
        <v>384</v>
      </c>
      <c r="G149" s="47" t="s">
        <v>36</v>
      </c>
      <c r="H149" s="52" t="str">
        <f>VLOOKUP(G149,ColorTable[],2,FALSE)</f>
        <v>184</v>
      </c>
      <c r="I149" s="52" t="str">
        <f>VLOOKUP(G149,ColorTable[],3,FALSE)</f>
        <v>210</v>
      </c>
      <c r="J149" s="52" t="str">
        <f>VLOOKUP(G149,ColorTable[],4,FALSE)</f>
        <v>100</v>
      </c>
      <c r="K149" s="98"/>
      <c r="L149" s="47"/>
    </row>
    <row r="150" spans="1:12" x14ac:dyDescent="0.2">
      <c r="A150" s="46" t="s">
        <v>395</v>
      </c>
      <c r="B150" s="96" t="s">
        <v>361</v>
      </c>
      <c r="C150" s="96" t="s">
        <v>155</v>
      </c>
      <c r="D150" s="97" t="s">
        <v>201</v>
      </c>
      <c r="E150" s="96" t="s">
        <v>19</v>
      </c>
      <c r="F150" s="96" t="s">
        <v>384</v>
      </c>
      <c r="G150" s="47" t="s">
        <v>21</v>
      </c>
      <c r="H150" s="52" t="str">
        <f>VLOOKUP(G150,ColorTable[],2,FALSE)</f>
        <v>113</v>
      </c>
      <c r="I150" s="52" t="str">
        <f>VLOOKUP(G150,ColorTable[],3,FALSE)</f>
        <v>171</v>
      </c>
      <c r="J150" s="52" t="str">
        <f>VLOOKUP(G150,ColorTable[],4,FALSE)</f>
        <v>26</v>
      </c>
      <c r="K150" s="98"/>
      <c r="L150" s="47"/>
    </row>
    <row r="151" spans="1:12" x14ac:dyDescent="0.2">
      <c r="A151" s="46" t="s">
        <v>395</v>
      </c>
      <c r="B151" s="96" t="s">
        <v>361</v>
      </c>
      <c r="C151" s="96" t="s">
        <v>156</v>
      </c>
      <c r="D151" s="97" t="s">
        <v>202</v>
      </c>
      <c r="E151" s="96" t="s">
        <v>19</v>
      </c>
      <c r="F151" s="96" t="s">
        <v>384</v>
      </c>
      <c r="G151" s="47" t="s">
        <v>21</v>
      </c>
      <c r="H151" s="52" t="str">
        <f>VLOOKUP(G151,ColorTable[],2,FALSE)</f>
        <v>113</v>
      </c>
      <c r="I151" s="52" t="str">
        <f>VLOOKUP(G151,ColorTable[],3,FALSE)</f>
        <v>171</v>
      </c>
      <c r="J151" s="52" t="str">
        <f>VLOOKUP(G151,ColorTable[],4,FALSE)</f>
        <v>26</v>
      </c>
      <c r="K151" s="98"/>
      <c r="L151" s="47"/>
    </row>
    <row r="152" spans="1:12" x14ac:dyDescent="0.2">
      <c r="A152" s="46" t="s">
        <v>395</v>
      </c>
      <c r="B152" s="96" t="s">
        <v>362</v>
      </c>
      <c r="C152" s="96" t="s">
        <v>153</v>
      </c>
      <c r="D152" s="97" t="s">
        <v>285</v>
      </c>
      <c r="E152" s="96" t="s">
        <v>18</v>
      </c>
      <c r="F152" s="96" t="s">
        <v>385</v>
      </c>
      <c r="G152" s="47" t="s">
        <v>32</v>
      </c>
      <c r="H152" s="52" t="str">
        <f>VLOOKUP(G152,ColorTable[],2,FALSE)</f>
        <v>192</v>
      </c>
      <c r="I152" s="52" t="str">
        <f>VLOOKUP(G152,ColorTable[],3,FALSE)</f>
        <v>192</v>
      </c>
      <c r="J152" s="52" t="str">
        <f>VLOOKUP(G152,ColorTable[],4,FALSE)</f>
        <v>192</v>
      </c>
      <c r="K152" s="98"/>
      <c r="L152" s="47"/>
    </row>
    <row r="153" spans="1:12" x14ac:dyDescent="0.2">
      <c r="A153" s="46" t="s">
        <v>395</v>
      </c>
      <c r="B153" s="96" t="s">
        <v>362</v>
      </c>
      <c r="C153" s="96" t="s">
        <v>332</v>
      </c>
      <c r="D153" s="97" t="s">
        <v>286</v>
      </c>
      <c r="E153" s="96" t="s">
        <v>19</v>
      </c>
      <c r="F153" s="96" t="s">
        <v>385</v>
      </c>
      <c r="G153" s="47" t="s">
        <v>158</v>
      </c>
      <c r="H153" s="52" t="str">
        <f>VLOOKUP(G153,ColorTable[],2,FALSE)</f>
        <v>0</v>
      </c>
      <c r="I153" s="52" t="str">
        <f>VLOOKUP(G153,ColorTable[],3,FALSE)</f>
        <v>116</v>
      </c>
      <c r="J153" s="52" t="str">
        <f>VLOOKUP(G153,ColorTable[],4,FALSE)</f>
        <v>161</v>
      </c>
      <c r="K153" s="98"/>
      <c r="L153" s="47"/>
    </row>
    <row r="154" spans="1:12" x14ac:dyDescent="0.2">
      <c r="A154" s="46" t="s">
        <v>395</v>
      </c>
      <c r="B154" s="96" t="s">
        <v>362</v>
      </c>
      <c r="C154" s="96" t="s">
        <v>154</v>
      </c>
      <c r="D154" s="97" t="s">
        <v>287</v>
      </c>
      <c r="E154" s="96" t="s">
        <v>19</v>
      </c>
      <c r="F154" s="96" t="s">
        <v>385</v>
      </c>
      <c r="G154" s="47" t="s">
        <v>36</v>
      </c>
      <c r="H154" s="52" t="str">
        <f>VLOOKUP(G154,ColorTable[],2,FALSE)</f>
        <v>184</v>
      </c>
      <c r="I154" s="52" t="str">
        <f>VLOOKUP(G154,ColorTable[],3,FALSE)</f>
        <v>210</v>
      </c>
      <c r="J154" s="52" t="str">
        <f>VLOOKUP(G154,ColorTable[],4,FALSE)</f>
        <v>100</v>
      </c>
      <c r="K154" s="98"/>
      <c r="L154" s="47"/>
    </row>
    <row r="155" spans="1:12" x14ac:dyDescent="0.2">
      <c r="A155" s="46" t="s">
        <v>395</v>
      </c>
      <c r="B155" s="96" t="s">
        <v>362</v>
      </c>
      <c r="C155" s="96" t="s">
        <v>155</v>
      </c>
      <c r="D155" s="97" t="s">
        <v>288</v>
      </c>
      <c r="E155" s="96" t="s">
        <v>19</v>
      </c>
      <c r="F155" s="96" t="s">
        <v>385</v>
      </c>
      <c r="G155" s="47" t="s">
        <v>21</v>
      </c>
      <c r="H155" s="52" t="str">
        <f>VLOOKUP(G155,ColorTable[],2,FALSE)</f>
        <v>113</v>
      </c>
      <c r="I155" s="52" t="str">
        <f>VLOOKUP(G155,ColorTable[],3,FALSE)</f>
        <v>171</v>
      </c>
      <c r="J155" s="52" t="str">
        <f>VLOOKUP(G155,ColorTable[],4,FALSE)</f>
        <v>26</v>
      </c>
      <c r="K155" s="98"/>
      <c r="L155" s="47"/>
    </row>
    <row r="156" spans="1:12" x14ac:dyDescent="0.2">
      <c r="A156" s="46" t="s">
        <v>395</v>
      </c>
      <c r="B156" s="96" t="s">
        <v>362</v>
      </c>
      <c r="C156" s="96" t="s">
        <v>156</v>
      </c>
      <c r="D156" s="97" t="s">
        <v>289</v>
      </c>
      <c r="E156" s="96" t="s">
        <v>19</v>
      </c>
      <c r="F156" s="96" t="s">
        <v>385</v>
      </c>
      <c r="G156" s="47" t="s">
        <v>21</v>
      </c>
      <c r="H156" s="52" t="str">
        <f>VLOOKUP(G156,ColorTable[],2,FALSE)</f>
        <v>113</v>
      </c>
      <c r="I156" s="52" t="str">
        <f>VLOOKUP(G156,ColorTable[],3,FALSE)</f>
        <v>171</v>
      </c>
      <c r="J156" s="52" t="str">
        <f>VLOOKUP(G156,ColorTable[],4,FALSE)</f>
        <v>26</v>
      </c>
      <c r="K156" s="98"/>
      <c r="L156" s="47"/>
    </row>
    <row r="157" spans="1:12" x14ac:dyDescent="0.2">
      <c r="A157" s="46" t="s">
        <v>395</v>
      </c>
      <c r="B157" s="96" t="s">
        <v>363</v>
      </c>
      <c r="C157" s="96" t="s">
        <v>153</v>
      </c>
      <c r="D157" s="97" t="s">
        <v>290</v>
      </c>
      <c r="E157" s="96" t="s">
        <v>18</v>
      </c>
      <c r="F157" s="96" t="s">
        <v>386</v>
      </c>
      <c r="G157" s="47" t="s">
        <v>32</v>
      </c>
      <c r="H157" s="52" t="str">
        <f>VLOOKUP(G157,ColorTable[],2,FALSE)</f>
        <v>192</v>
      </c>
      <c r="I157" s="52" t="str">
        <f>VLOOKUP(G157,ColorTable[],3,FALSE)</f>
        <v>192</v>
      </c>
      <c r="J157" s="52" t="str">
        <f>VLOOKUP(G157,ColorTable[],4,FALSE)</f>
        <v>192</v>
      </c>
      <c r="K157" s="98"/>
      <c r="L157" s="47"/>
    </row>
    <row r="158" spans="1:12" x14ac:dyDescent="0.2">
      <c r="A158" s="46" t="s">
        <v>395</v>
      </c>
      <c r="B158" s="96" t="s">
        <v>363</v>
      </c>
      <c r="C158" s="96" t="s">
        <v>332</v>
      </c>
      <c r="D158" s="97" t="s">
        <v>291</v>
      </c>
      <c r="E158" s="96" t="s">
        <v>19</v>
      </c>
      <c r="F158" s="96" t="s">
        <v>386</v>
      </c>
      <c r="G158" s="47" t="s">
        <v>158</v>
      </c>
      <c r="H158" s="52" t="str">
        <f>VLOOKUP(G158,ColorTable[],2,FALSE)</f>
        <v>0</v>
      </c>
      <c r="I158" s="52" t="str">
        <f>VLOOKUP(G158,ColorTable[],3,FALSE)</f>
        <v>116</v>
      </c>
      <c r="J158" s="52" t="str">
        <f>VLOOKUP(G158,ColorTable[],4,FALSE)</f>
        <v>161</v>
      </c>
      <c r="K158" s="98"/>
      <c r="L158" s="47"/>
    </row>
    <row r="159" spans="1:12" x14ac:dyDescent="0.2">
      <c r="A159" s="46" t="s">
        <v>395</v>
      </c>
      <c r="B159" s="96" t="s">
        <v>363</v>
      </c>
      <c r="C159" s="96" t="s">
        <v>154</v>
      </c>
      <c r="D159" s="97" t="s">
        <v>292</v>
      </c>
      <c r="E159" s="96" t="s">
        <v>19</v>
      </c>
      <c r="F159" s="96" t="s">
        <v>386</v>
      </c>
      <c r="G159" s="47" t="s">
        <v>36</v>
      </c>
      <c r="H159" s="52" t="str">
        <f>VLOOKUP(G159,ColorTable[],2,FALSE)</f>
        <v>184</v>
      </c>
      <c r="I159" s="52" t="str">
        <f>VLOOKUP(G159,ColorTable[],3,FALSE)</f>
        <v>210</v>
      </c>
      <c r="J159" s="52" t="str">
        <f>VLOOKUP(G159,ColorTable[],4,FALSE)</f>
        <v>100</v>
      </c>
      <c r="K159" s="98"/>
      <c r="L159" s="47"/>
    </row>
    <row r="160" spans="1:12" x14ac:dyDescent="0.2">
      <c r="A160" s="46" t="s">
        <v>395</v>
      </c>
      <c r="B160" s="96" t="s">
        <v>363</v>
      </c>
      <c r="C160" s="96" t="s">
        <v>155</v>
      </c>
      <c r="D160" s="97" t="s">
        <v>293</v>
      </c>
      <c r="E160" s="96" t="s">
        <v>19</v>
      </c>
      <c r="F160" s="96" t="s">
        <v>386</v>
      </c>
      <c r="G160" s="47" t="s">
        <v>21</v>
      </c>
      <c r="H160" s="52" t="str">
        <f>VLOOKUP(G160,ColorTable[],2,FALSE)</f>
        <v>113</v>
      </c>
      <c r="I160" s="52" t="str">
        <f>VLOOKUP(G160,ColorTable[],3,FALSE)</f>
        <v>171</v>
      </c>
      <c r="J160" s="52" t="str">
        <f>VLOOKUP(G160,ColorTable[],4,FALSE)</f>
        <v>26</v>
      </c>
      <c r="K160" s="98"/>
      <c r="L160" s="47"/>
    </row>
    <row r="161" spans="1:12" x14ac:dyDescent="0.2">
      <c r="A161" s="46" t="s">
        <v>395</v>
      </c>
      <c r="B161" s="96" t="s">
        <v>363</v>
      </c>
      <c r="C161" s="96" t="s">
        <v>156</v>
      </c>
      <c r="D161" s="97" t="s">
        <v>294</v>
      </c>
      <c r="E161" s="96" t="s">
        <v>19</v>
      </c>
      <c r="F161" s="96" t="s">
        <v>386</v>
      </c>
      <c r="G161" s="47" t="s">
        <v>21</v>
      </c>
      <c r="H161" s="52" t="str">
        <f>VLOOKUP(G161,ColorTable[],2,FALSE)</f>
        <v>113</v>
      </c>
      <c r="I161" s="52" t="str">
        <f>VLOOKUP(G161,ColorTable[],3,FALSE)</f>
        <v>171</v>
      </c>
      <c r="J161" s="52" t="str">
        <f>VLOOKUP(G161,ColorTable[],4,FALSE)</f>
        <v>26</v>
      </c>
      <c r="K161" s="98"/>
      <c r="L161" s="47"/>
    </row>
    <row r="162" spans="1:12" x14ac:dyDescent="0.2">
      <c r="A162" s="46" t="s">
        <v>394</v>
      </c>
      <c r="B162" s="96" t="s">
        <v>357</v>
      </c>
      <c r="C162" s="96" t="s">
        <v>153</v>
      </c>
      <c r="D162" s="97" t="s">
        <v>253</v>
      </c>
      <c r="E162" s="96" t="s">
        <v>18</v>
      </c>
      <c r="F162" s="96" t="s">
        <v>356</v>
      </c>
      <c r="G162" s="47" t="s">
        <v>32</v>
      </c>
      <c r="H162" s="52" t="str">
        <f>VLOOKUP(G162,ColorTable[],2,FALSE)</f>
        <v>192</v>
      </c>
      <c r="I162" s="52" t="str">
        <f>VLOOKUP(G162,ColorTable[],3,FALSE)</f>
        <v>192</v>
      </c>
      <c r="J162" s="52" t="str">
        <f>VLOOKUP(G162,ColorTable[],4,FALSE)</f>
        <v>192</v>
      </c>
      <c r="K162" s="99">
        <v>43020.520312499997</v>
      </c>
      <c r="L162" s="47" t="s">
        <v>414</v>
      </c>
    </row>
    <row r="163" spans="1:12" x14ac:dyDescent="0.2">
      <c r="A163" s="46" t="s">
        <v>394</v>
      </c>
      <c r="B163" s="96" t="s">
        <v>357</v>
      </c>
      <c r="C163" s="96" t="s">
        <v>332</v>
      </c>
      <c r="D163" s="97" t="s">
        <v>132</v>
      </c>
      <c r="E163" s="96" t="s">
        <v>19</v>
      </c>
      <c r="F163" s="96" t="s">
        <v>356</v>
      </c>
      <c r="G163" s="47" t="s">
        <v>158</v>
      </c>
      <c r="H163" s="52" t="str">
        <f>VLOOKUP(G163,ColorTable[],2,FALSE)</f>
        <v>0</v>
      </c>
      <c r="I163" s="52" t="str">
        <f>VLOOKUP(G163,ColorTable[],3,FALSE)</f>
        <v>116</v>
      </c>
      <c r="J163" s="52" t="str">
        <f>VLOOKUP(G163,ColorTable[],4,FALSE)</f>
        <v>161</v>
      </c>
      <c r="K163" s="98"/>
      <c r="L163" s="47"/>
    </row>
    <row r="164" spans="1:12" x14ac:dyDescent="0.2">
      <c r="A164" s="46" t="s">
        <v>394</v>
      </c>
      <c r="B164" s="96" t="s">
        <v>357</v>
      </c>
      <c r="C164" s="96" t="s">
        <v>154</v>
      </c>
      <c r="D164" s="97" t="s">
        <v>86</v>
      </c>
      <c r="E164" s="96" t="s">
        <v>19</v>
      </c>
      <c r="F164" s="96" t="s">
        <v>356</v>
      </c>
      <c r="G164" s="47" t="s">
        <v>36</v>
      </c>
      <c r="H164" s="52" t="str">
        <f>VLOOKUP(G164,ColorTable[],2,FALSE)</f>
        <v>184</v>
      </c>
      <c r="I164" s="52" t="str">
        <f>VLOOKUP(G164,ColorTable[],3,FALSE)</f>
        <v>210</v>
      </c>
      <c r="J164" s="52" t="str">
        <f>VLOOKUP(G164,ColorTable[],4,FALSE)</f>
        <v>100</v>
      </c>
      <c r="K164" s="98"/>
      <c r="L164" s="47"/>
    </row>
    <row r="165" spans="1:12" x14ac:dyDescent="0.2">
      <c r="A165" s="46" t="s">
        <v>394</v>
      </c>
      <c r="B165" s="96" t="s">
        <v>357</v>
      </c>
      <c r="C165" s="96" t="s">
        <v>155</v>
      </c>
      <c r="D165" s="97" t="s">
        <v>87</v>
      </c>
      <c r="E165" s="96" t="s">
        <v>19</v>
      </c>
      <c r="F165" s="96" t="s">
        <v>356</v>
      </c>
      <c r="G165" s="47" t="s">
        <v>21</v>
      </c>
      <c r="H165" s="52" t="str">
        <f>VLOOKUP(G165,ColorTable[],2,FALSE)</f>
        <v>113</v>
      </c>
      <c r="I165" s="52" t="str">
        <f>VLOOKUP(G165,ColorTable[],3,FALSE)</f>
        <v>171</v>
      </c>
      <c r="J165" s="52" t="str">
        <f>VLOOKUP(G165,ColorTable[],4,FALSE)</f>
        <v>26</v>
      </c>
      <c r="K165" s="98"/>
      <c r="L165" s="47"/>
    </row>
    <row r="166" spans="1:12" x14ac:dyDescent="0.2">
      <c r="A166" s="46" t="s">
        <v>394</v>
      </c>
      <c r="B166" s="96" t="s">
        <v>357</v>
      </c>
      <c r="C166" s="96" t="s">
        <v>156</v>
      </c>
      <c r="D166" s="97" t="s">
        <v>88</v>
      </c>
      <c r="E166" s="96" t="s">
        <v>19</v>
      </c>
      <c r="F166" s="96" t="s">
        <v>356</v>
      </c>
      <c r="G166" s="47" t="s">
        <v>21</v>
      </c>
      <c r="H166" s="52" t="str">
        <f>VLOOKUP(G166,ColorTable[],2,FALSE)</f>
        <v>113</v>
      </c>
      <c r="I166" s="52" t="str">
        <f>VLOOKUP(G166,ColorTable[],3,FALSE)</f>
        <v>171</v>
      </c>
      <c r="J166" s="52" t="str">
        <f>VLOOKUP(G166,ColorTable[],4,FALSE)</f>
        <v>26</v>
      </c>
      <c r="K166" s="98"/>
      <c r="L166" s="47"/>
    </row>
    <row r="167" spans="1:12" x14ac:dyDescent="0.2">
      <c r="A167" s="46" t="s">
        <v>394</v>
      </c>
      <c r="B167" s="96" t="s">
        <v>358</v>
      </c>
      <c r="C167" s="96" t="s">
        <v>153</v>
      </c>
      <c r="D167" s="97" t="s">
        <v>254</v>
      </c>
      <c r="E167" s="96" t="s">
        <v>18</v>
      </c>
      <c r="F167" s="96" t="s">
        <v>381</v>
      </c>
      <c r="G167" s="47" t="s">
        <v>32</v>
      </c>
      <c r="H167" s="52" t="str">
        <f>VLOOKUP(G167,ColorTable[],2,FALSE)</f>
        <v>192</v>
      </c>
      <c r="I167" s="52" t="str">
        <f>VLOOKUP(G167,ColorTable[],3,FALSE)</f>
        <v>192</v>
      </c>
      <c r="J167" s="52" t="str">
        <f>VLOOKUP(G167,ColorTable[],4,FALSE)</f>
        <v>192</v>
      </c>
      <c r="K167" s="98"/>
      <c r="L167" s="47"/>
    </row>
    <row r="168" spans="1:12" x14ac:dyDescent="0.2">
      <c r="A168" s="46" t="s">
        <v>394</v>
      </c>
      <c r="B168" s="96" t="s">
        <v>358</v>
      </c>
      <c r="C168" s="96" t="s">
        <v>332</v>
      </c>
      <c r="D168" s="97" t="s">
        <v>133</v>
      </c>
      <c r="E168" s="96" t="s">
        <v>19</v>
      </c>
      <c r="F168" s="96" t="s">
        <v>381</v>
      </c>
      <c r="G168" s="47" t="s">
        <v>158</v>
      </c>
      <c r="H168" s="52" t="str">
        <f>VLOOKUP(G168,ColorTable[],2,FALSE)</f>
        <v>0</v>
      </c>
      <c r="I168" s="52" t="str">
        <f>VLOOKUP(G168,ColorTable[],3,FALSE)</f>
        <v>116</v>
      </c>
      <c r="J168" s="52" t="str">
        <f>VLOOKUP(G168,ColorTable[],4,FALSE)</f>
        <v>161</v>
      </c>
      <c r="K168" s="98"/>
      <c r="L168" s="47"/>
    </row>
    <row r="169" spans="1:12" x14ac:dyDescent="0.2">
      <c r="A169" s="46" t="s">
        <v>394</v>
      </c>
      <c r="B169" s="96" t="s">
        <v>358</v>
      </c>
      <c r="C169" s="96" t="s">
        <v>154</v>
      </c>
      <c r="D169" s="97" t="s">
        <v>89</v>
      </c>
      <c r="E169" s="96" t="s">
        <v>19</v>
      </c>
      <c r="F169" s="96" t="s">
        <v>381</v>
      </c>
      <c r="G169" s="47" t="s">
        <v>36</v>
      </c>
      <c r="H169" s="52" t="str">
        <f>VLOOKUP(G169,ColorTable[],2,FALSE)</f>
        <v>184</v>
      </c>
      <c r="I169" s="52" t="str">
        <f>VLOOKUP(G169,ColorTable[],3,FALSE)</f>
        <v>210</v>
      </c>
      <c r="J169" s="52" t="str">
        <f>VLOOKUP(G169,ColorTable[],4,FALSE)</f>
        <v>100</v>
      </c>
      <c r="K169" s="98"/>
      <c r="L169" s="47"/>
    </row>
    <row r="170" spans="1:12" x14ac:dyDescent="0.2">
      <c r="A170" s="46" t="s">
        <v>394</v>
      </c>
      <c r="B170" s="96" t="s">
        <v>358</v>
      </c>
      <c r="C170" s="96" t="s">
        <v>155</v>
      </c>
      <c r="D170" s="97" t="s">
        <v>90</v>
      </c>
      <c r="E170" s="96" t="s">
        <v>19</v>
      </c>
      <c r="F170" s="96" t="s">
        <v>381</v>
      </c>
      <c r="G170" s="47" t="s">
        <v>21</v>
      </c>
      <c r="H170" s="52" t="str">
        <f>VLOOKUP(G170,ColorTable[],2,FALSE)</f>
        <v>113</v>
      </c>
      <c r="I170" s="52" t="str">
        <f>VLOOKUP(G170,ColorTable[],3,FALSE)</f>
        <v>171</v>
      </c>
      <c r="J170" s="52" t="str">
        <f>VLOOKUP(G170,ColorTable[],4,FALSE)</f>
        <v>26</v>
      </c>
      <c r="K170" s="98"/>
      <c r="L170" s="47"/>
    </row>
    <row r="171" spans="1:12" x14ac:dyDescent="0.2">
      <c r="A171" s="46" t="s">
        <v>394</v>
      </c>
      <c r="B171" s="96" t="s">
        <v>358</v>
      </c>
      <c r="C171" s="96" t="s">
        <v>156</v>
      </c>
      <c r="D171" s="97" t="s">
        <v>91</v>
      </c>
      <c r="E171" s="96" t="s">
        <v>19</v>
      </c>
      <c r="F171" s="96" t="s">
        <v>381</v>
      </c>
      <c r="G171" s="47" t="s">
        <v>21</v>
      </c>
      <c r="H171" s="52" t="str">
        <f>VLOOKUP(G171,ColorTable[],2,FALSE)</f>
        <v>113</v>
      </c>
      <c r="I171" s="52" t="str">
        <f>VLOOKUP(G171,ColorTable[],3,FALSE)</f>
        <v>171</v>
      </c>
      <c r="J171" s="52" t="str">
        <f>VLOOKUP(G171,ColorTable[],4,FALSE)</f>
        <v>26</v>
      </c>
      <c r="K171" s="98"/>
      <c r="L171" s="47"/>
    </row>
    <row r="172" spans="1:12" x14ac:dyDescent="0.2">
      <c r="A172" s="46" t="s">
        <v>394</v>
      </c>
      <c r="B172" s="96" t="s">
        <v>359</v>
      </c>
      <c r="C172" s="96" t="s">
        <v>153</v>
      </c>
      <c r="D172" s="97" t="s">
        <v>255</v>
      </c>
      <c r="E172" s="96" t="s">
        <v>18</v>
      </c>
      <c r="F172" s="96" t="s">
        <v>382</v>
      </c>
      <c r="G172" s="47" t="s">
        <v>32</v>
      </c>
      <c r="H172" s="52" t="str">
        <f>VLOOKUP(G172,ColorTable[],2,FALSE)</f>
        <v>192</v>
      </c>
      <c r="I172" s="52" t="str">
        <f>VLOOKUP(G172,ColorTable[],3,FALSE)</f>
        <v>192</v>
      </c>
      <c r="J172" s="52" t="str">
        <f>VLOOKUP(G172,ColorTable[],4,FALSE)</f>
        <v>192</v>
      </c>
      <c r="K172" s="98"/>
      <c r="L172" s="47"/>
    </row>
    <row r="173" spans="1:12" x14ac:dyDescent="0.2">
      <c r="A173" s="46" t="s">
        <v>394</v>
      </c>
      <c r="B173" s="96" t="s">
        <v>359</v>
      </c>
      <c r="C173" s="96" t="s">
        <v>332</v>
      </c>
      <c r="D173" s="97" t="s">
        <v>134</v>
      </c>
      <c r="E173" s="96" t="s">
        <v>19</v>
      </c>
      <c r="F173" s="96" t="s">
        <v>382</v>
      </c>
      <c r="G173" s="47" t="s">
        <v>158</v>
      </c>
      <c r="H173" s="52" t="str">
        <f>VLOOKUP(G173,ColorTable[],2,FALSE)</f>
        <v>0</v>
      </c>
      <c r="I173" s="52" t="str">
        <f>VLOOKUP(G173,ColorTable[],3,FALSE)</f>
        <v>116</v>
      </c>
      <c r="J173" s="52" t="str">
        <f>VLOOKUP(G173,ColorTable[],4,FALSE)</f>
        <v>161</v>
      </c>
      <c r="K173" s="98"/>
      <c r="L173" s="47"/>
    </row>
    <row r="174" spans="1:12" x14ac:dyDescent="0.2">
      <c r="A174" s="46" t="s">
        <v>394</v>
      </c>
      <c r="B174" s="96" t="s">
        <v>359</v>
      </c>
      <c r="C174" s="96" t="s">
        <v>154</v>
      </c>
      <c r="D174" s="97" t="s">
        <v>92</v>
      </c>
      <c r="E174" s="96" t="s">
        <v>19</v>
      </c>
      <c r="F174" s="96" t="s">
        <v>382</v>
      </c>
      <c r="G174" s="47" t="s">
        <v>36</v>
      </c>
      <c r="H174" s="52" t="str">
        <f>VLOOKUP(G174,ColorTable[],2,FALSE)</f>
        <v>184</v>
      </c>
      <c r="I174" s="52" t="str">
        <f>VLOOKUP(G174,ColorTable[],3,FALSE)</f>
        <v>210</v>
      </c>
      <c r="J174" s="52" t="str">
        <f>VLOOKUP(G174,ColorTable[],4,FALSE)</f>
        <v>100</v>
      </c>
      <c r="K174" s="98"/>
      <c r="L174" s="47"/>
    </row>
    <row r="175" spans="1:12" x14ac:dyDescent="0.2">
      <c r="A175" s="46" t="s">
        <v>394</v>
      </c>
      <c r="B175" s="96" t="s">
        <v>359</v>
      </c>
      <c r="C175" s="96" t="s">
        <v>155</v>
      </c>
      <c r="D175" s="97" t="s">
        <v>93</v>
      </c>
      <c r="E175" s="96" t="s">
        <v>19</v>
      </c>
      <c r="F175" s="96" t="s">
        <v>382</v>
      </c>
      <c r="G175" s="47" t="s">
        <v>21</v>
      </c>
      <c r="H175" s="52" t="str">
        <f>VLOOKUP(G175,ColorTable[],2,FALSE)</f>
        <v>113</v>
      </c>
      <c r="I175" s="52" t="str">
        <f>VLOOKUP(G175,ColorTable[],3,FALSE)</f>
        <v>171</v>
      </c>
      <c r="J175" s="52" t="str">
        <f>VLOOKUP(G175,ColorTable[],4,FALSE)</f>
        <v>26</v>
      </c>
      <c r="K175" s="98"/>
      <c r="L175" s="47"/>
    </row>
    <row r="176" spans="1:12" x14ac:dyDescent="0.2">
      <c r="A176" s="46" t="s">
        <v>394</v>
      </c>
      <c r="B176" s="96" t="s">
        <v>359</v>
      </c>
      <c r="C176" s="96" t="s">
        <v>156</v>
      </c>
      <c r="D176" s="97" t="s">
        <v>94</v>
      </c>
      <c r="E176" s="96" t="s">
        <v>19</v>
      </c>
      <c r="F176" s="96" t="s">
        <v>382</v>
      </c>
      <c r="G176" s="47" t="s">
        <v>21</v>
      </c>
      <c r="H176" s="52" t="str">
        <f>VLOOKUP(G176,ColorTable[],2,FALSE)</f>
        <v>113</v>
      </c>
      <c r="I176" s="52" t="str">
        <f>VLOOKUP(G176,ColorTable[],3,FALSE)</f>
        <v>171</v>
      </c>
      <c r="J176" s="52" t="str">
        <f>VLOOKUP(G176,ColorTable[],4,FALSE)</f>
        <v>26</v>
      </c>
      <c r="K176" s="98"/>
      <c r="L176" s="47"/>
    </row>
    <row r="177" spans="1:12" x14ac:dyDescent="0.2">
      <c r="A177" s="46" t="s">
        <v>394</v>
      </c>
      <c r="B177" s="96" t="s">
        <v>360</v>
      </c>
      <c r="C177" s="96" t="s">
        <v>153</v>
      </c>
      <c r="D177" s="97" t="s">
        <v>256</v>
      </c>
      <c r="E177" s="96" t="s">
        <v>18</v>
      </c>
      <c r="F177" s="96" t="s">
        <v>383</v>
      </c>
      <c r="G177" s="47" t="s">
        <v>32</v>
      </c>
      <c r="H177" s="52" t="str">
        <f>VLOOKUP(G177,ColorTable[],2,FALSE)</f>
        <v>192</v>
      </c>
      <c r="I177" s="52" t="str">
        <f>VLOOKUP(G177,ColorTable[],3,FALSE)</f>
        <v>192</v>
      </c>
      <c r="J177" s="52" t="str">
        <f>VLOOKUP(G177,ColorTable[],4,FALSE)</f>
        <v>192</v>
      </c>
      <c r="K177" s="98"/>
      <c r="L177" s="47"/>
    </row>
    <row r="178" spans="1:12" x14ac:dyDescent="0.2">
      <c r="A178" s="46" t="s">
        <v>394</v>
      </c>
      <c r="B178" s="96" t="s">
        <v>360</v>
      </c>
      <c r="C178" s="96" t="s">
        <v>332</v>
      </c>
      <c r="D178" s="97" t="s">
        <v>116</v>
      </c>
      <c r="E178" s="96" t="s">
        <v>19</v>
      </c>
      <c r="F178" s="96" t="s">
        <v>383</v>
      </c>
      <c r="G178" s="47" t="s">
        <v>158</v>
      </c>
      <c r="H178" s="52" t="str">
        <f>VLOOKUP(G178,ColorTable[],2,FALSE)</f>
        <v>0</v>
      </c>
      <c r="I178" s="52" t="str">
        <f>VLOOKUP(G178,ColorTable[],3,FALSE)</f>
        <v>116</v>
      </c>
      <c r="J178" s="52" t="str">
        <f>VLOOKUP(G178,ColorTable[],4,FALSE)</f>
        <v>161</v>
      </c>
      <c r="K178" s="98"/>
      <c r="L178" s="47"/>
    </row>
    <row r="179" spans="1:12" x14ac:dyDescent="0.2">
      <c r="A179" s="46" t="s">
        <v>394</v>
      </c>
      <c r="B179" s="96" t="s">
        <v>360</v>
      </c>
      <c r="C179" s="96" t="s">
        <v>154</v>
      </c>
      <c r="D179" s="97" t="s">
        <v>95</v>
      </c>
      <c r="E179" s="96" t="s">
        <v>19</v>
      </c>
      <c r="F179" s="96" t="s">
        <v>383</v>
      </c>
      <c r="G179" s="47" t="s">
        <v>36</v>
      </c>
      <c r="H179" s="52" t="str">
        <f>VLOOKUP(G179,ColorTable[],2,FALSE)</f>
        <v>184</v>
      </c>
      <c r="I179" s="52" t="str">
        <f>VLOOKUP(G179,ColorTable[],3,FALSE)</f>
        <v>210</v>
      </c>
      <c r="J179" s="52" t="str">
        <f>VLOOKUP(G179,ColorTable[],4,FALSE)</f>
        <v>100</v>
      </c>
      <c r="K179" s="98"/>
      <c r="L179" s="47"/>
    </row>
    <row r="180" spans="1:12" x14ac:dyDescent="0.2">
      <c r="A180" s="46" t="s">
        <v>394</v>
      </c>
      <c r="B180" s="96" t="s">
        <v>360</v>
      </c>
      <c r="C180" s="96" t="s">
        <v>155</v>
      </c>
      <c r="D180" s="97" t="s">
        <v>203</v>
      </c>
      <c r="E180" s="96" t="s">
        <v>19</v>
      </c>
      <c r="F180" s="96" t="s">
        <v>383</v>
      </c>
      <c r="G180" s="47" t="s">
        <v>21</v>
      </c>
      <c r="H180" s="52" t="str">
        <f>VLOOKUP(G180,ColorTable[],2,FALSE)</f>
        <v>113</v>
      </c>
      <c r="I180" s="52" t="str">
        <f>VLOOKUP(G180,ColorTable[],3,FALSE)</f>
        <v>171</v>
      </c>
      <c r="J180" s="52" t="str">
        <f>VLOOKUP(G180,ColorTable[],4,FALSE)</f>
        <v>26</v>
      </c>
      <c r="K180" s="98"/>
      <c r="L180" s="47"/>
    </row>
    <row r="181" spans="1:12" x14ac:dyDescent="0.2">
      <c r="A181" s="46" t="s">
        <v>394</v>
      </c>
      <c r="B181" s="96" t="s">
        <v>360</v>
      </c>
      <c r="C181" s="96" t="s">
        <v>156</v>
      </c>
      <c r="D181" s="97" t="s">
        <v>204</v>
      </c>
      <c r="E181" s="96" t="s">
        <v>19</v>
      </c>
      <c r="F181" s="96" t="s">
        <v>383</v>
      </c>
      <c r="G181" s="47" t="s">
        <v>21</v>
      </c>
      <c r="H181" s="52" t="str">
        <f>VLOOKUP(G181,ColorTable[],2,FALSE)</f>
        <v>113</v>
      </c>
      <c r="I181" s="52" t="str">
        <f>VLOOKUP(G181,ColorTable[],3,FALSE)</f>
        <v>171</v>
      </c>
      <c r="J181" s="52" t="str">
        <f>VLOOKUP(G181,ColorTable[],4,FALSE)</f>
        <v>26</v>
      </c>
      <c r="K181" s="98"/>
      <c r="L181" s="47"/>
    </row>
    <row r="182" spans="1:12" x14ac:dyDescent="0.2">
      <c r="A182" s="46" t="s">
        <v>394</v>
      </c>
      <c r="B182" s="96" t="s">
        <v>364</v>
      </c>
      <c r="C182" s="96" t="s">
        <v>153</v>
      </c>
      <c r="D182" s="97" t="s">
        <v>257</v>
      </c>
      <c r="E182" s="96" t="s">
        <v>18</v>
      </c>
      <c r="F182" s="96" t="s">
        <v>387</v>
      </c>
      <c r="G182" s="47" t="s">
        <v>32</v>
      </c>
      <c r="H182" s="52" t="str">
        <f>VLOOKUP(G182,ColorTable[],2,FALSE)</f>
        <v>192</v>
      </c>
      <c r="I182" s="52" t="str">
        <f>VLOOKUP(G182,ColorTable[],3,FALSE)</f>
        <v>192</v>
      </c>
      <c r="J182" s="52" t="str">
        <f>VLOOKUP(G182,ColorTable[],4,FALSE)</f>
        <v>192</v>
      </c>
      <c r="K182" s="98"/>
      <c r="L182" s="47"/>
    </row>
    <row r="183" spans="1:12" x14ac:dyDescent="0.2">
      <c r="A183" s="46" t="s">
        <v>394</v>
      </c>
      <c r="B183" s="96" t="s">
        <v>364</v>
      </c>
      <c r="C183" s="96" t="s">
        <v>332</v>
      </c>
      <c r="D183" s="97" t="s">
        <v>135</v>
      </c>
      <c r="E183" s="96" t="s">
        <v>19</v>
      </c>
      <c r="F183" s="96" t="s">
        <v>387</v>
      </c>
      <c r="G183" s="47" t="s">
        <v>158</v>
      </c>
      <c r="H183" s="52" t="str">
        <f>VLOOKUP(G183,ColorTable[],2,FALSE)</f>
        <v>0</v>
      </c>
      <c r="I183" s="52" t="str">
        <f>VLOOKUP(G183,ColorTable[],3,FALSE)</f>
        <v>116</v>
      </c>
      <c r="J183" s="52" t="str">
        <f>VLOOKUP(G183,ColorTable[],4,FALSE)</f>
        <v>161</v>
      </c>
      <c r="K183" s="98"/>
      <c r="L183" s="47"/>
    </row>
    <row r="184" spans="1:12" x14ac:dyDescent="0.2">
      <c r="A184" s="46" t="s">
        <v>394</v>
      </c>
      <c r="B184" s="96" t="s">
        <v>364</v>
      </c>
      <c r="C184" s="96" t="s">
        <v>154</v>
      </c>
      <c r="D184" s="97" t="s">
        <v>97</v>
      </c>
      <c r="E184" s="96" t="s">
        <v>19</v>
      </c>
      <c r="F184" s="96" t="s">
        <v>387</v>
      </c>
      <c r="G184" s="47" t="s">
        <v>36</v>
      </c>
      <c r="H184" s="52" t="str">
        <f>VLOOKUP(G184,ColorTable[],2,FALSE)</f>
        <v>184</v>
      </c>
      <c r="I184" s="52" t="str">
        <f>VLOOKUP(G184,ColorTable[],3,FALSE)</f>
        <v>210</v>
      </c>
      <c r="J184" s="52" t="str">
        <f>VLOOKUP(G184,ColorTable[],4,FALSE)</f>
        <v>100</v>
      </c>
      <c r="K184" s="98"/>
      <c r="L184" s="47"/>
    </row>
    <row r="185" spans="1:12" x14ac:dyDescent="0.2">
      <c r="A185" s="46" t="s">
        <v>394</v>
      </c>
      <c r="B185" s="96" t="s">
        <v>364</v>
      </c>
      <c r="C185" s="96" t="s">
        <v>155</v>
      </c>
      <c r="D185" s="97" t="s">
        <v>98</v>
      </c>
      <c r="E185" s="96" t="s">
        <v>19</v>
      </c>
      <c r="F185" s="96" t="s">
        <v>387</v>
      </c>
      <c r="G185" s="47" t="s">
        <v>21</v>
      </c>
      <c r="H185" s="52" t="str">
        <f>VLOOKUP(G185,ColorTable[],2,FALSE)</f>
        <v>113</v>
      </c>
      <c r="I185" s="52" t="str">
        <f>VLOOKUP(G185,ColorTable[],3,FALSE)</f>
        <v>171</v>
      </c>
      <c r="J185" s="52" t="str">
        <f>VLOOKUP(G185,ColorTable[],4,FALSE)</f>
        <v>26</v>
      </c>
      <c r="K185" s="98"/>
      <c r="L185" s="47"/>
    </row>
    <row r="186" spans="1:12" x14ac:dyDescent="0.2">
      <c r="A186" s="46" t="s">
        <v>394</v>
      </c>
      <c r="B186" s="96" t="s">
        <v>364</v>
      </c>
      <c r="C186" s="96" t="s">
        <v>156</v>
      </c>
      <c r="D186" s="97" t="s">
        <v>96</v>
      </c>
      <c r="E186" s="96" t="s">
        <v>19</v>
      </c>
      <c r="F186" s="96" t="s">
        <v>387</v>
      </c>
      <c r="G186" s="47" t="s">
        <v>21</v>
      </c>
      <c r="H186" s="52" t="str">
        <f>VLOOKUP(G186,ColorTable[],2,FALSE)</f>
        <v>113</v>
      </c>
      <c r="I186" s="52" t="str">
        <f>VLOOKUP(G186,ColorTable[],3,FALSE)</f>
        <v>171</v>
      </c>
      <c r="J186" s="52" t="str">
        <f>VLOOKUP(G186,ColorTable[],4,FALSE)</f>
        <v>26</v>
      </c>
      <c r="K186" s="98"/>
      <c r="L186" s="47"/>
    </row>
    <row r="187" spans="1:12" x14ac:dyDescent="0.2">
      <c r="A187" s="46" t="s">
        <v>394</v>
      </c>
      <c r="B187" s="96" t="s">
        <v>348</v>
      </c>
      <c r="C187" s="96" t="s">
        <v>153</v>
      </c>
      <c r="D187" s="97" t="s">
        <v>258</v>
      </c>
      <c r="E187" s="96" t="s">
        <v>18</v>
      </c>
      <c r="F187" s="96" t="s">
        <v>373</v>
      </c>
      <c r="G187" s="47" t="s">
        <v>32</v>
      </c>
      <c r="H187" s="52" t="str">
        <f>VLOOKUP(G187,ColorTable[],2,FALSE)</f>
        <v>192</v>
      </c>
      <c r="I187" s="52" t="str">
        <f>VLOOKUP(G187,ColorTable[],3,FALSE)</f>
        <v>192</v>
      </c>
      <c r="J187" s="52" t="str">
        <f>VLOOKUP(G187,ColorTable[],4,FALSE)</f>
        <v>192</v>
      </c>
      <c r="K187" s="98"/>
      <c r="L187" s="47"/>
    </row>
    <row r="188" spans="1:12" x14ac:dyDescent="0.2">
      <c r="A188" s="46" t="s">
        <v>394</v>
      </c>
      <c r="B188" s="96" t="s">
        <v>348</v>
      </c>
      <c r="C188" s="96" t="s">
        <v>332</v>
      </c>
      <c r="D188" s="97" t="s">
        <v>136</v>
      </c>
      <c r="E188" s="96" t="s">
        <v>19</v>
      </c>
      <c r="F188" s="96" t="s">
        <v>373</v>
      </c>
      <c r="G188" s="47" t="s">
        <v>158</v>
      </c>
      <c r="H188" s="52" t="str">
        <f>VLOOKUP(G188,ColorTable[],2,FALSE)</f>
        <v>0</v>
      </c>
      <c r="I188" s="52" t="str">
        <f>VLOOKUP(G188,ColorTable[],3,FALSE)</f>
        <v>116</v>
      </c>
      <c r="J188" s="52" t="str">
        <f>VLOOKUP(G188,ColorTable[],4,FALSE)</f>
        <v>161</v>
      </c>
      <c r="K188" s="98"/>
      <c r="L188" s="47"/>
    </row>
    <row r="189" spans="1:12" x14ac:dyDescent="0.2">
      <c r="A189" s="46" t="s">
        <v>394</v>
      </c>
      <c r="B189" s="96" t="s">
        <v>348</v>
      </c>
      <c r="C189" s="96" t="s">
        <v>154</v>
      </c>
      <c r="D189" s="97" t="s">
        <v>99</v>
      </c>
      <c r="E189" s="96" t="s">
        <v>19</v>
      </c>
      <c r="F189" s="96" t="s">
        <v>373</v>
      </c>
      <c r="G189" s="47" t="s">
        <v>36</v>
      </c>
      <c r="H189" s="52" t="str">
        <f>VLOOKUP(G189,ColorTable[],2,FALSE)</f>
        <v>184</v>
      </c>
      <c r="I189" s="52" t="str">
        <f>VLOOKUP(G189,ColorTable[],3,FALSE)</f>
        <v>210</v>
      </c>
      <c r="J189" s="52" t="str">
        <f>VLOOKUP(G189,ColorTable[],4,FALSE)</f>
        <v>100</v>
      </c>
      <c r="K189" s="98"/>
      <c r="L189" s="47"/>
    </row>
    <row r="190" spans="1:12" x14ac:dyDescent="0.2">
      <c r="A190" s="46" t="s">
        <v>394</v>
      </c>
      <c r="B190" s="96" t="s">
        <v>348</v>
      </c>
      <c r="C190" s="96" t="s">
        <v>155</v>
      </c>
      <c r="D190" s="97" t="s">
        <v>100</v>
      </c>
      <c r="E190" s="96" t="s">
        <v>19</v>
      </c>
      <c r="F190" s="96" t="s">
        <v>373</v>
      </c>
      <c r="G190" s="47" t="s">
        <v>21</v>
      </c>
      <c r="H190" s="52" t="str">
        <f>VLOOKUP(G190,ColorTable[],2,FALSE)</f>
        <v>113</v>
      </c>
      <c r="I190" s="52" t="str">
        <f>VLOOKUP(G190,ColorTable[],3,FALSE)</f>
        <v>171</v>
      </c>
      <c r="J190" s="52" t="str">
        <f>VLOOKUP(G190,ColorTable[],4,FALSE)</f>
        <v>26</v>
      </c>
      <c r="K190" s="98"/>
      <c r="L190" s="47"/>
    </row>
    <row r="191" spans="1:12" x14ac:dyDescent="0.2">
      <c r="A191" s="46" t="s">
        <v>394</v>
      </c>
      <c r="B191" s="96" t="s">
        <v>348</v>
      </c>
      <c r="C191" s="96" t="s">
        <v>156</v>
      </c>
      <c r="D191" s="97" t="s">
        <v>101</v>
      </c>
      <c r="E191" s="96" t="s">
        <v>19</v>
      </c>
      <c r="F191" s="96" t="s">
        <v>373</v>
      </c>
      <c r="G191" s="47" t="s">
        <v>21</v>
      </c>
      <c r="H191" s="52" t="str">
        <f>VLOOKUP(G191,ColorTable[],2,FALSE)</f>
        <v>113</v>
      </c>
      <c r="I191" s="52" t="str">
        <f>VLOOKUP(G191,ColorTable[],3,FALSE)</f>
        <v>171</v>
      </c>
      <c r="J191" s="52" t="str">
        <f>VLOOKUP(G191,ColorTable[],4,FALSE)</f>
        <v>26</v>
      </c>
      <c r="K191" s="98"/>
      <c r="L191" s="47"/>
    </row>
    <row r="192" spans="1:12" x14ac:dyDescent="0.2">
      <c r="A192" s="46" t="s">
        <v>394</v>
      </c>
      <c r="B192" s="96" t="s">
        <v>349</v>
      </c>
      <c r="C192" s="96" t="s">
        <v>153</v>
      </c>
      <c r="D192" s="97" t="s">
        <v>259</v>
      </c>
      <c r="E192" s="96" t="s">
        <v>18</v>
      </c>
      <c r="F192" s="96" t="s">
        <v>374</v>
      </c>
      <c r="G192" s="47" t="s">
        <v>32</v>
      </c>
      <c r="H192" s="52" t="str">
        <f>VLOOKUP(G192,ColorTable[],2,FALSE)</f>
        <v>192</v>
      </c>
      <c r="I192" s="52" t="str">
        <f>VLOOKUP(G192,ColorTable[],3,FALSE)</f>
        <v>192</v>
      </c>
      <c r="J192" s="52" t="str">
        <f>VLOOKUP(G192,ColorTable[],4,FALSE)</f>
        <v>192</v>
      </c>
      <c r="K192" s="98"/>
      <c r="L192" s="47"/>
    </row>
    <row r="193" spans="1:12" x14ac:dyDescent="0.2">
      <c r="A193" s="46" t="s">
        <v>394</v>
      </c>
      <c r="B193" s="96" t="s">
        <v>349</v>
      </c>
      <c r="C193" s="96" t="s">
        <v>332</v>
      </c>
      <c r="D193" s="97" t="s">
        <v>137</v>
      </c>
      <c r="E193" s="96" t="s">
        <v>19</v>
      </c>
      <c r="F193" s="96" t="s">
        <v>374</v>
      </c>
      <c r="G193" s="47" t="s">
        <v>158</v>
      </c>
      <c r="H193" s="52" t="str">
        <f>VLOOKUP(G193,ColorTable[],2,FALSE)</f>
        <v>0</v>
      </c>
      <c r="I193" s="52" t="str">
        <f>VLOOKUP(G193,ColorTable[],3,FALSE)</f>
        <v>116</v>
      </c>
      <c r="J193" s="52" t="str">
        <f>VLOOKUP(G193,ColorTable[],4,FALSE)</f>
        <v>161</v>
      </c>
      <c r="K193" s="98"/>
      <c r="L193" s="47"/>
    </row>
    <row r="194" spans="1:12" x14ac:dyDescent="0.2">
      <c r="A194" s="46" t="s">
        <v>394</v>
      </c>
      <c r="B194" s="96" t="s">
        <v>349</v>
      </c>
      <c r="C194" s="96" t="s">
        <v>154</v>
      </c>
      <c r="D194" s="97" t="s">
        <v>102</v>
      </c>
      <c r="E194" s="96" t="s">
        <v>19</v>
      </c>
      <c r="F194" s="96" t="s">
        <v>374</v>
      </c>
      <c r="G194" s="47" t="s">
        <v>36</v>
      </c>
      <c r="H194" s="52" t="str">
        <f>VLOOKUP(G194,ColorTable[],2,FALSE)</f>
        <v>184</v>
      </c>
      <c r="I194" s="52" t="str">
        <f>VLOOKUP(G194,ColorTable[],3,FALSE)</f>
        <v>210</v>
      </c>
      <c r="J194" s="52" t="str">
        <f>VLOOKUP(G194,ColorTable[],4,FALSE)</f>
        <v>100</v>
      </c>
      <c r="K194" s="98"/>
      <c r="L194" s="47"/>
    </row>
    <row r="195" spans="1:12" x14ac:dyDescent="0.2">
      <c r="A195" s="46" t="s">
        <v>394</v>
      </c>
      <c r="B195" s="96" t="s">
        <v>349</v>
      </c>
      <c r="C195" s="96" t="s">
        <v>155</v>
      </c>
      <c r="D195" s="97" t="s">
        <v>103</v>
      </c>
      <c r="E195" s="96" t="s">
        <v>19</v>
      </c>
      <c r="F195" s="96" t="s">
        <v>374</v>
      </c>
      <c r="G195" s="47" t="s">
        <v>21</v>
      </c>
      <c r="H195" s="52" t="str">
        <f>VLOOKUP(G195,ColorTable[],2,FALSE)</f>
        <v>113</v>
      </c>
      <c r="I195" s="52" t="str">
        <f>VLOOKUP(G195,ColorTable[],3,FALSE)</f>
        <v>171</v>
      </c>
      <c r="J195" s="52" t="str">
        <f>VLOOKUP(G195,ColorTable[],4,FALSE)</f>
        <v>26</v>
      </c>
      <c r="K195" s="98"/>
      <c r="L195" s="47"/>
    </row>
    <row r="196" spans="1:12" x14ac:dyDescent="0.2">
      <c r="A196" s="46" t="s">
        <v>394</v>
      </c>
      <c r="B196" s="96" t="s">
        <v>349</v>
      </c>
      <c r="C196" s="96" t="s">
        <v>156</v>
      </c>
      <c r="D196" s="97" t="s">
        <v>104</v>
      </c>
      <c r="E196" s="96" t="s">
        <v>19</v>
      </c>
      <c r="F196" s="96" t="s">
        <v>374</v>
      </c>
      <c r="G196" s="47" t="s">
        <v>21</v>
      </c>
      <c r="H196" s="52" t="str">
        <f>VLOOKUP(G196,ColorTable[],2,FALSE)</f>
        <v>113</v>
      </c>
      <c r="I196" s="52" t="str">
        <f>VLOOKUP(G196,ColorTable[],3,FALSE)</f>
        <v>171</v>
      </c>
      <c r="J196" s="52" t="str">
        <f>VLOOKUP(G196,ColorTable[],4,FALSE)</f>
        <v>26</v>
      </c>
      <c r="K196" s="98"/>
      <c r="L196" s="47"/>
    </row>
    <row r="197" spans="1:12" x14ac:dyDescent="0.2">
      <c r="A197" s="46" t="s">
        <v>394</v>
      </c>
      <c r="B197" s="96" t="s">
        <v>350</v>
      </c>
      <c r="C197" s="96" t="s">
        <v>153</v>
      </c>
      <c r="D197" s="97" t="s">
        <v>260</v>
      </c>
      <c r="E197" s="96" t="s">
        <v>18</v>
      </c>
      <c r="F197" s="96" t="s">
        <v>375</v>
      </c>
      <c r="G197" s="47" t="s">
        <v>32</v>
      </c>
      <c r="H197" s="52" t="str">
        <f>VLOOKUP(G197,ColorTable[],2,FALSE)</f>
        <v>192</v>
      </c>
      <c r="I197" s="52" t="str">
        <f>VLOOKUP(G197,ColorTable[],3,FALSE)</f>
        <v>192</v>
      </c>
      <c r="J197" s="52" t="str">
        <f>VLOOKUP(G197,ColorTable[],4,FALSE)</f>
        <v>192</v>
      </c>
      <c r="K197" s="98"/>
      <c r="L197" s="47"/>
    </row>
    <row r="198" spans="1:12" x14ac:dyDescent="0.2">
      <c r="A198" s="46" t="s">
        <v>394</v>
      </c>
      <c r="B198" s="96" t="s">
        <v>350</v>
      </c>
      <c r="C198" s="96" t="s">
        <v>332</v>
      </c>
      <c r="D198" s="97" t="s">
        <v>138</v>
      </c>
      <c r="E198" s="96" t="s">
        <v>19</v>
      </c>
      <c r="F198" s="96" t="s">
        <v>375</v>
      </c>
      <c r="G198" s="47" t="s">
        <v>158</v>
      </c>
      <c r="H198" s="52" t="str">
        <f>VLOOKUP(G198,ColorTable[],2,FALSE)</f>
        <v>0</v>
      </c>
      <c r="I198" s="52" t="str">
        <f>VLOOKUP(G198,ColorTable[],3,FALSE)</f>
        <v>116</v>
      </c>
      <c r="J198" s="52" t="str">
        <f>VLOOKUP(G198,ColorTable[],4,FALSE)</f>
        <v>161</v>
      </c>
      <c r="K198" s="98"/>
      <c r="L198" s="47"/>
    </row>
    <row r="199" spans="1:12" x14ac:dyDescent="0.2">
      <c r="A199" s="46" t="s">
        <v>394</v>
      </c>
      <c r="B199" s="96" t="s">
        <v>350</v>
      </c>
      <c r="C199" s="96" t="s">
        <v>154</v>
      </c>
      <c r="D199" s="97" t="s">
        <v>105</v>
      </c>
      <c r="E199" s="96" t="s">
        <v>19</v>
      </c>
      <c r="F199" s="96" t="s">
        <v>375</v>
      </c>
      <c r="G199" s="47" t="s">
        <v>36</v>
      </c>
      <c r="H199" s="52" t="str">
        <f>VLOOKUP(G199,ColorTable[],2,FALSE)</f>
        <v>184</v>
      </c>
      <c r="I199" s="52" t="str">
        <f>VLOOKUP(G199,ColorTable[],3,FALSE)</f>
        <v>210</v>
      </c>
      <c r="J199" s="52" t="str">
        <f>VLOOKUP(G199,ColorTable[],4,FALSE)</f>
        <v>100</v>
      </c>
      <c r="K199" s="98"/>
      <c r="L199" s="47"/>
    </row>
    <row r="200" spans="1:12" x14ac:dyDescent="0.2">
      <c r="A200" s="46" t="s">
        <v>394</v>
      </c>
      <c r="B200" s="96" t="s">
        <v>350</v>
      </c>
      <c r="C200" s="96" t="s">
        <v>155</v>
      </c>
      <c r="D200" s="97" t="s">
        <v>106</v>
      </c>
      <c r="E200" s="96" t="s">
        <v>19</v>
      </c>
      <c r="F200" s="96" t="s">
        <v>375</v>
      </c>
      <c r="G200" s="47" t="s">
        <v>21</v>
      </c>
      <c r="H200" s="52" t="str">
        <f>VLOOKUP(G200,ColorTable[],2,FALSE)</f>
        <v>113</v>
      </c>
      <c r="I200" s="52" t="str">
        <f>VLOOKUP(G200,ColorTable[],3,FALSE)</f>
        <v>171</v>
      </c>
      <c r="J200" s="52" t="str">
        <f>VLOOKUP(G200,ColorTable[],4,FALSE)</f>
        <v>26</v>
      </c>
      <c r="K200" s="98"/>
      <c r="L200" s="47"/>
    </row>
    <row r="201" spans="1:12" x14ac:dyDescent="0.2">
      <c r="A201" s="46" t="s">
        <v>394</v>
      </c>
      <c r="B201" s="96" t="s">
        <v>350</v>
      </c>
      <c r="C201" s="96" t="s">
        <v>156</v>
      </c>
      <c r="D201" s="97" t="s">
        <v>107</v>
      </c>
      <c r="E201" s="96" t="s">
        <v>19</v>
      </c>
      <c r="F201" s="96" t="s">
        <v>375</v>
      </c>
      <c r="G201" s="47" t="s">
        <v>21</v>
      </c>
      <c r="H201" s="52" t="str">
        <f>VLOOKUP(G201,ColorTable[],2,FALSE)</f>
        <v>113</v>
      </c>
      <c r="I201" s="52" t="str">
        <f>VLOOKUP(G201,ColorTable[],3,FALSE)</f>
        <v>171</v>
      </c>
      <c r="J201" s="52" t="str">
        <f>VLOOKUP(G201,ColorTable[],4,FALSE)</f>
        <v>26</v>
      </c>
      <c r="K201" s="98"/>
      <c r="L201" s="47"/>
    </row>
    <row r="202" spans="1:12" x14ac:dyDescent="0.2">
      <c r="A202" s="46" t="s">
        <v>394</v>
      </c>
      <c r="B202" s="96" t="s">
        <v>351</v>
      </c>
      <c r="C202" s="96" t="s">
        <v>153</v>
      </c>
      <c r="D202" s="97" t="s">
        <v>261</v>
      </c>
      <c r="E202" s="96" t="s">
        <v>18</v>
      </c>
      <c r="F202" s="96" t="s">
        <v>376</v>
      </c>
      <c r="G202" s="47" t="s">
        <v>32</v>
      </c>
      <c r="H202" s="52" t="str">
        <f>VLOOKUP(G202,ColorTable[],2,FALSE)</f>
        <v>192</v>
      </c>
      <c r="I202" s="52" t="str">
        <f>VLOOKUP(G202,ColorTable[],3,FALSE)</f>
        <v>192</v>
      </c>
      <c r="J202" s="52" t="str">
        <f>VLOOKUP(G202,ColorTable[],4,FALSE)</f>
        <v>192</v>
      </c>
      <c r="K202" s="98"/>
      <c r="L202" s="47"/>
    </row>
    <row r="203" spans="1:12" x14ac:dyDescent="0.2">
      <c r="A203" s="46" t="s">
        <v>394</v>
      </c>
      <c r="B203" s="96" t="s">
        <v>351</v>
      </c>
      <c r="C203" s="96" t="s">
        <v>332</v>
      </c>
      <c r="D203" s="97" t="s">
        <v>150</v>
      </c>
      <c r="E203" s="96" t="s">
        <v>19</v>
      </c>
      <c r="F203" s="96" t="s">
        <v>376</v>
      </c>
      <c r="G203" s="47" t="s">
        <v>158</v>
      </c>
      <c r="H203" s="52" t="str">
        <f>VLOOKUP(G203,ColorTable[],2,FALSE)</f>
        <v>0</v>
      </c>
      <c r="I203" s="52" t="str">
        <f>VLOOKUP(G203,ColorTable[],3,FALSE)</f>
        <v>116</v>
      </c>
      <c r="J203" s="52" t="str">
        <f>VLOOKUP(G203,ColorTable[],4,FALSE)</f>
        <v>161</v>
      </c>
      <c r="K203" s="98"/>
      <c r="L203" s="47"/>
    </row>
    <row r="204" spans="1:12" x14ac:dyDescent="0.2">
      <c r="A204" s="46" t="s">
        <v>394</v>
      </c>
      <c r="B204" s="96" t="s">
        <v>351</v>
      </c>
      <c r="C204" s="96" t="s">
        <v>154</v>
      </c>
      <c r="D204" s="97" t="s">
        <v>147</v>
      </c>
      <c r="E204" s="96" t="s">
        <v>19</v>
      </c>
      <c r="F204" s="96" t="s">
        <v>376</v>
      </c>
      <c r="G204" s="47" t="s">
        <v>36</v>
      </c>
      <c r="H204" s="52" t="str">
        <f>VLOOKUP(G204,ColorTable[],2,FALSE)</f>
        <v>184</v>
      </c>
      <c r="I204" s="52" t="str">
        <f>VLOOKUP(G204,ColorTable[],3,FALSE)</f>
        <v>210</v>
      </c>
      <c r="J204" s="52" t="str">
        <f>VLOOKUP(G204,ColorTable[],4,FALSE)</f>
        <v>100</v>
      </c>
      <c r="K204" s="98"/>
      <c r="L204" s="47"/>
    </row>
    <row r="205" spans="1:12" x14ac:dyDescent="0.2">
      <c r="A205" s="46" t="s">
        <v>394</v>
      </c>
      <c r="B205" s="96" t="s">
        <v>351</v>
      </c>
      <c r="C205" s="96" t="s">
        <v>155</v>
      </c>
      <c r="D205" s="97" t="s">
        <v>148</v>
      </c>
      <c r="E205" s="96" t="s">
        <v>19</v>
      </c>
      <c r="F205" s="96" t="s">
        <v>376</v>
      </c>
      <c r="G205" s="47" t="s">
        <v>21</v>
      </c>
      <c r="H205" s="52" t="str">
        <f>VLOOKUP(G205,ColorTable[],2,FALSE)</f>
        <v>113</v>
      </c>
      <c r="I205" s="52" t="str">
        <f>VLOOKUP(G205,ColorTable[],3,FALSE)</f>
        <v>171</v>
      </c>
      <c r="J205" s="52" t="str">
        <f>VLOOKUP(G205,ColorTable[],4,FALSE)</f>
        <v>26</v>
      </c>
      <c r="K205" s="98"/>
      <c r="L205" s="47"/>
    </row>
    <row r="206" spans="1:12" x14ac:dyDescent="0.2">
      <c r="A206" s="46" t="s">
        <v>394</v>
      </c>
      <c r="B206" s="96" t="s">
        <v>351</v>
      </c>
      <c r="C206" s="96" t="s">
        <v>156</v>
      </c>
      <c r="D206" s="97" t="s">
        <v>149</v>
      </c>
      <c r="E206" s="96" t="s">
        <v>19</v>
      </c>
      <c r="F206" s="96" t="s">
        <v>376</v>
      </c>
      <c r="G206" s="47" t="s">
        <v>21</v>
      </c>
      <c r="H206" s="52" t="str">
        <f>VLOOKUP(G206,ColorTable[],2,FALSE)</f>
        <v>113</v>
      </c>
      <c r="I206" s="52" t="str">
        <f>VLOOKUP(G206,ColorTable[],3,FALSE)</f>
        <v>171</v>
      </c>
      <c r="J206" s="52" t="str">
        <f>VLOOKUP(G206,ColorTable[],4,FALSE)</f>
        <v>26</v>
      </c>
      <c r="K206" s="98"/>
      <c r="L206" s="47"/>
    </row>
    <row r="207" spans="1:12" x14ac:dyDescent="0.2">
      <c r="A207" s="46" t="s">
        <v>394</v>
      </c>
      <c r="B207" s="96" t="s">
        <v>352</v>
      </c>
      <c r="C207" s="96" t="s">
        <v>153</v>
      </c>
      <c r="D207" s="97" t="s">
        <v>262</v>
      </c>
      <c r="E207" s="96" t="s">
        <v>18</v>
      </c>
      <c r="F207" s="96" t="s">
        <v>377</v>
      </c>
      <c r="G207" s="47" t="s">
        <v>32</v>
      </c>
      <c r="H207" s="52" t="str">
        <f>VLOOKUP(G207,ColorTable[],2,FALSE)</f>
        <v>192</v>
      </c>
      <c r="I207" s="52" t="str">
        <f>VLOOKUP(G207,ColorTable[],3,FALSE)</f>
        <v>192</v>
      </c>
      <c r="J207" s="52" t="str">
        <f>VLOOKUP(G207,ColorTable[],4,FALSE)</f>
        <v>192</v>
      </c>
      <c r="K207" s="99">
        <v>43019.482071759259</v>
      </c>
      <c r="L207" s="47" t="s">
        <v>414</v>
      </c>
    </row>
    <row r="208" spans="1:12" x14ac:dyDescent="0.2">
      <c r="A208" s="46" t="s">
        <v>394</v>
      </c>
      <c r="B208" s="96" t="s">
        <v>352</v>
      </c>
      <c r="C208" s="96" t="s">
        <v>332</v>
      </c>
      <c r="D208" s="97" t="s">
        <v>205</v>
      </c>
      <c r="E208" s="96" t="s">
        <v>19</v>
      </c>
      <c r="F208" s="96" t="s">
        <v>377</v>
      </c>
      <c r="G208" s="47" t="s">
        <v>158</v>
      </c>
      <c r="H208" s="52" t="str">
        <f>VLOOKUP(G208,ColorTable[],2,FALSE)</f>
        <v>0</v>
      </c>
      <c r="I208" s="52" t="str">
        <f>VLOOKUP(G208,ColorTable[],3,FALSE)</f>
        <v>116</v>
      </c>
      <c r="J208" s="52" t="str">
        <f>VLOOKUP(G208,ColorTable[],4,FALSE)</f>
        <v>161</v>
      </c>
      <c r="K208" s="99">
        <v>43019.333680555559</v>
      </c>
      <c r="L208" s="47" t="s">
        <v>414</v>
      </c>
    </row>
    <row r="209" spans="1:12" x14ac:dyDescent="0.2">
      <c r="A209" s="46" t="s">
        <v>394</v>
      </c>
      <c r="B209" s="96" t="s">
        <v>352</v>
      </c>
      <c r="C209" s="96" t="s">
        <v>154</v>
      </c>
      <c r="D209" s="97" t="s">
        <v>206</v>
      </c>
      <c r="E209" s="96" t="s">
        <v>19</v>
      </c>
      <c r="F209" s="96" t="s">
        <v>377</v>
      </c>
      <c r="G209" s="47" t="s">
        <v>36</v>
      </c>
      <c r="H209" s="52" t="str">
        <f>VLOOKUP(G209,ColorTable[],2,FALSE)</f>
        <v>184</v>
      </c>
      <c r="I209" s="52" t="str">
        <f>VLOOKUP(G209,ColorTable[],3,FALSE)</f>
        <v>210</v>
      </c>
      <c r="J209" s="52" t="str">
        <f>VLOOKUP(G209,ColorTable[],4,FALSE)</f>
        <v>100</v>
      </c>
      <c r="K209" s="98"/>
      <c r="L209" s="47"/>
    </row>
    <row r="210" spans="1:12" x14ac:dyDescent="0.2">
      <c r="A210" s="46" t="s">
        <v>394</v>
      </c>
      <c r="B210" s="96" t="s">
        <v>352</v>
      </c>
      <c r="C210" s="96" t="s">
        <v>155</v>
      </c>
      <c r="D210" s="97" t="s">
        <v>207</v>
      </c>
      <c r="E210" s="96" t="s">
        <v>19</v>
      </c>
      <c r="F210" s="96" t="s">
        <v>377</v>
      </c>
      <c r="G210" s="47" t="s">
        <v>21</v>
      </c>
      <c r="H210" s="52" t="str">
        <f>VLOOKUP(G210,ColorTable[],2,FALSE)</f>
        <v>113</v>
      </c>
      <c r="I210" s="52" t="str">
        <f>VLOOKUP(G210,ColorTable[],3,FALSE)</f>
        <v>171</v>
      </c>
      <c r="J210" s="52" t="str">
        <f>VLOOKUP(G210,ColorTable[],4,FALSE)</f>
        <v>26</v>
      </c>
      <c r="K210" s="98"/>
      <c r="L210" s="47"/>
    </row>
    <row r="211" spans="1:12" x14ac:dyDescent="0.2">
      <c r="A211" s="46" t="s">
        <v>394</v>
      </c>
      <c r="B211" s="96" t="s">
        <v>352</v>
      </c>
      <c r="C211" s="96" t="s">
        <v>156</v>
      </c>
      <c r="D211" s="97" t="s">
        <v>208</v>
      </c>
      <c r="E211" s="96" t="s">
        <v>19</v>
      </c>
      <c r="F211" s="96" t="s">
        <v>377</v>
      </c>
      <c r="G211" s="47" t="s">
        <v>21</v>
      </c>
      <c r="H211" s="52" t="str">
        <f>VLOOKUP(G211,ColorTable[],2,FALSE)</f>
        <v>113</v>
      </c>
      <c r="I211" s="52" t="str">
        <f>VLOOKUP(G211,ColorTable[],3,FALSE)</f>
        <v>171</v>
      </c>
      <c r="J211" s="52" t="str">
        <f>VLOOKUP(G211,ColorTable[],4,FALSE)</f>
        <v>26</v>
      </c>
      <c r="K211" s="98"/>
      <c r="L211" s="47"/>
    </row>
    <row r="212" spans="1:12" x14ac:dyDescent="0.2">
      <c r="A212" s="46" t="s">
        <v>394</v>
      </c>
      <c r="B212" s="96" t="s">
        <v>353</v>
      </c>
      <c r="C212" s="96" t="s">
        <v>153</v>
      </c>
      <c r="D212" s="97" t="s">
        <v>263</v>
      </c>
      <c r="E212" s="96" t="s">
        <v>18</v>
      </c>
      <c r="F212" s="96" t="s">
        <v>378</v>
      </c>
      <c r="G212" s="47" t="s">
        <v>32</v>
      </c>
      <c r="H212" s="52" t="str">
        <f>VLOOKUP(G212,ColorTable[],2,FALSE)</f>
        <v>192</v>
      </c>
      <c r="I212" s="52" t="str">
        <f>VLOOKUP(G212,ColorTable[],3,FALSE)</f>
        <v>192</v>
      </c>
      <c r="J212" s="52" t="str">
        <f>VLOOKUP(G212,ColorTable[],4,FALSE)</f>
        <v>192</v>
      </c>
      <c r="K212" s="98"/>
      <c r="L212" s="47"/>
    </row>
    <row r="213" spans="1:12" x14ac:dyDescent="0.2">
      <c r="A213" s="46" t="s">
        <v>394</v>
      </c>
      <c r="B213" s="96" t="s">
        <v>353</v>
      </c>
      <c r="C213" s="96" t="s">
        <v>332</v>
      </c>
      <c r="D213" s="97" t="s">
        <v>209</v>
      </c>
      <c r="E213" s="96" t="s">
        <v>19</v>
      </c>
      <c r="F213" s="96" t="s">
        <v>378</v>
      </c>
      <c r="G213" s="47" t="s">
        <v>158</v>
      </c>
      <c r="H213" s="52" t="str">
        <f>VLOOKUP(G213,ColorTable[],2,FALSE)</f>
        <v>0</v>
      </c>
      <c r="I213" s="52" t="str">
        <f>VLOOKUP(G213,ColorTable[],3,FALSE)</f>
        <v>116</v>
      </c>
      <c r="J213" s="52" t="str">
        <f>VLOOKUP(G213,ColorTable[],4,FALSE)</f>
        <v>161</v>
      </c>
      <c r="K213" s="98"/>
      <c r="L213" s="47"/>
    </row>
    <row r="214" spans="1:12" x14ac:dyDescent="0.2">
      <c r="A214" s="46" t="s">
        <v>394</v>
      </c>
      <c r="B214" s="96" t="s">
        <v>353</v>
      </c>
      <c r="C214" s="96" t="s">
        <v>154</v>
      </c>
      <c r="D214" s="97" t="s">
        <v>210</v>
      </c>
      <c r="E214" s="96" t="s">
        <v>19</v>
      </c>
      <c r="F214" s="96" t="s">
        <v>378</v>
      </c>
      <c r="G214" s="47" t="s">
        <v>36</v>
      </c>
      <c r="H214" s="52" t="str">
        <f>VLOOKUP(G214,ColorTable[],2,FALSE)</f>
        <v>184</v>
      </c>
      <c r="I214" s="52" t="str">
        <f>VLOOKUP(G214,ColorTable[],3,FALSE)</f>
        <v>210</v>
      </c>
      <c r="J214" s="52" t="str">
        <f>VLOOKUP(G214,ColorTable[],4,FALSE)</f>
        <v>100</v>
      </c>
      <c r="K214" s="98"/>
      <c r="L214" s="47"/>
    </row>
    <row r="215" spans="1:12" x14ac:dyDescent="0.2">
      <c r="A215" s="46" t="s">
        <v>394</v>
      </c>
      <c r="B215" s="96" t="s">
        <v>353</v>
      </c>
      <c r="C215" s="96" t="s">
        <v>155</v>
      </c>
      <c r="D215" s="97" t="s">
        <v>211</v>
      </c>
      <c r="E215" s="96" t="s">
        <v>19</v>
      </c>
      <c r="F215" s="96" t="s">
        <v>378</v>
      </c>
      <c r="G215" s="47" t="s">
        <v>21</v>
      </c>
      <c r="H215" s="52" t="str">
        <f>VLOOKUP(G215,ColorTable[],2,FALSE)</f>
        <v>113</v>
      </c>
      <c r="I215" s="52" t="str">
        <f>VLOOKUP(G215,ColorTable[],3,FALSE)</f>
        <v>171</v>
      </c>
      <c r="J215" s="52" t="str">
        <f>VLOOKUP(G215,ColorTable[],4,FALSE)</f>
        <v>26</v>
      </c>
      <c r="K215" s="98"/>
      <c r="L215" s="47"/>
    </row>
    <row r="216" spans="1:12" x14ac:dyDescent="0.2">
      <c r="A216" s="46" t="s">
        <v>394</v>
      </c>
      <c r="B216" s="96" t="s">
        <v>353</v>
      </c>
      <c r="C216" s="96" t="s">
        <v>156</v>
      </c>
      <c r="D216" s="97" t="s">
        <v>212</v>
      </c>
      <c r="E216" s="96" t="s">
        <v>19</v>
      </c>
      <c r="F216" s="96" t="s">
        <v>378</v>
      </c>
      <c r="G216" s="47" t="s">
        <v>21</v>
      </c>
      <c r="H216" s="52" t="str">
        <f>VLOOKUP(G216,ColorTable[],2,FALSE)</f>
        <v>113</v>
      </c>
      <c r="I216" s="52" t="str">
        <f>VLOOKUP(G216,ColorTable[],3,FALSE)</f>
        <v>171</v>
      </c>
      <c r="J216" s="52" t="str">
        <f>VLOOKUP(G216,ColorTable[],4,FALSE)</f>
        <v>26</v>
      </c>
      <c r="K216" s="98"/>
      <c r="L216" s="47"/>
    </row>
    <row r="217" spans="1:12" x14ac:dyDescent="0.2">
      <c r="A217" s="46" t="s">
        <v>394</v>
      </c>
      <c r="B217" s="96" t="s">
        <v>354</v>
      </c>
      <c r="C217" s="96" t="s">
        <v>153</v>
      </c>
      <c r="D217" s="97" t="s">
        <v>264</v>
      </c>
      <c r="E217" s="96" t="s">
        <v>18</v>
      </c>
      <c r="F217" s="96" t="s">
        <v>379</v>
      </c>
      <c r="G217" s="47" t="s">
        <v>32</v>
      </c>
      <c r="H217" s="52" t="str">
        <f>VLOOKUP(G217,ColorTable[],2,FALSE)</f>
        <v>192</v>
      </c>
      <c r="I217" s="52" t="str">
        <f>VLOOKUP(G217,ColorTable[],3,FALSE)</f>
        <v>192</v>
      </c>
      <c r="J217" s="52" t="str">
        <f>VLOOKUP(G217,ColorTable[],4,FALSE)</f>
        <v>192</v>
      </c>
      <c r="K217" s="98"/>
      <c r="L217" s="47"/>
    </row>
    <row r="218" spans="1:12" x14ac:dyDescent="0.2">
      <c r="A218" s="46" t="s">
        <v>394</v>
      </c>
      <c r="B218" s="96" t="s">
        <v>354</v>
      </c>
      <c r="C218" s="96" t="s">
        <v>332</v>
      </c>
      <c r="D218" s="97" t="s">
        <v>213</v>
      </c>
      <c r="E218" s="96" t="s">
        <v>19</v>
      </c>
      <c r="F218" s="96" t="s">
        <v>379</v>
      </c>
      <c r="G218" s="47" t="s">
        <v>158</v>
      </c>
      <c r="H218" s="52" t="str">
        <f>VLOOKUP(G218,ColorTable[],2,FALSE)</f>
        <v>0</v>
      </c>
      <c r="I218" s="52" t="str">
        <f>VLOOKUP(G218,ColorTable[],3,FALSE)</f>
        <v>116</v>
      </c>
      <c r="J218" s="52" t="str">
        <f>VLOOKUP(G218,ColorTable[],4,FALSE)</f>
        <v>161</v>
      </c>
      <c r="K218" s="98"/>
      <c r="L218" s="47"/>
    </row>
    <row r="219" spans="1:12" x14ac:dyDescent="0.2">
      <c r="A219" s="46" t="s">
        <v>394</v>
      </c>
      <c r="B219" s="96" t="s">
        <v>354</v>
      </c>
      <c r="C219" s="96" t="s">
        <v>154</v>
      </c>
      <c r="D219" s="97" t="s">
        <v>214</v>
      </c>
      <c r="E219" s="96" t="s">
        <v>19</v>
      </c>
      <c r="F219" s="96" t="s">
        <v>379</v>
      </c>
      <c r="G219" s="47" t="s">
        <v>36</v>
      </c>
      <c r="H219" s="52" t="str">
        <f>VLOOKUP(G219,ColorTable[],2,FALSE)</f>
        <v>184</v>
      </c>
      <c r="I219" s="52" t="str">
        <f>VLOOKUP(G219,ColorTable[],3,FALSE)</f>
        <v>210</v>
      </c>
      <c r="J219" s="52" t="str">
        <f>VLOOKUP(G219,ColorTable[],4,FALSE)</f>
        <v>100</v>
      </c>
      <c r="K219" s="98"/>
      <c r="L219" s="47"/>
    </row>
    <row r="220" spans="1:12" x14ac:dyDescent="0.2">
      <c r="A220" s="46" t="s">
        <v>394</v>
      </c>
      <c r="B220" s="96" t="s">
        <v>354</v>
      </c>
      <c r="C220" s="96" t="s">
        <v>155</v>
      </c>
      <c r="D220" s="97" t="s">
        <v>215</v>
      </c>
      <c r="E220" s="96" t="s">
        <v>19</v>
      </c>
      <c r="F220" s="96" t="s">
        <v>379</v>
      </c>
      <c r="G220" s="47" t="s">
        <v>21</v>
      </c>
      <c r="H220" s="52" t="str">
        <f>VLOOKUP(G220,ColorTable[],2,FALSE)</f>
        <v>113</v>
      </c>
      <c r="I220" s="52" t="str">
        <f>VLOOKUP(G220,ColorTable[],3,FALSE)</f>
        <v>171</v>
      </c>
      <c r="J220" s="52" t="str">
        <f>VLOOKUP(G220,ColorTable[],4,FALSE)</f>
        <v>26</v>
      </c>
      <c r="K220" s="98"/>
      <c r="L220" s="47"/>
    </row>
    <row r="221" spans="1:12" x14ac:dyDescent="0.2">
      <c r="A221" s="46" t="s">
        <v>394</v>
      </c>
      <c r="B221" s="96" t="s">
        <v>354</v>
      </c>
      <c r="C221" s="96" t="s">
        <v>156</v>
      </c>
      <c r="D221" s="97" t="s">
        <v>216</v>
      </c>
      <c r="E221" s="96" t="s">
        <v>19</v>
      </c>
      <c r="F221" s="96" t="s">
        <v>379</v>
      </c>
      <c r="G221" s="47" t="s">
        <v>21</v>
      </c>
      <c r="H221" s="52" t="str">
        <f>VLOOKUP(G221,ColorTable[],2,FALSE)</f>
        <v>113</v>
      </c>
      <c r="I221" s="52" t="str">
        <f>VLOOKUP(G221,ColorTable[],3,FALSE)</f>
        <v>171</v>
      </c>
      <c r="J221" s="52" t="str">
        <f>VLOOKUP(G221,ColorTable[],4,FALSE)</f>
        <v>26</v>
      </c>
      <c r="K221" s="98"/>
      <c r="L221" s="47"/>
    </row>
    <row r="222" spans="1:12" x14ac:dyDescent="0.2">
      <c r="A222" s="46" t="s">
        <v>394</v>
      </c>
      <c r="B222" s="96" t="s">
        <v>355</v>
      </c>
      <c r="C222" s="96" t="s">
        <v>153</v>
      </c>
      <c r="D222" s="97" t="s">
        <v>265</v>
      </c>
      <c r="E222" s="96" t="s">
        <v>18</v>
      </c>
      <c r="F222" s="96" t="s">
        <v>380</v>
      </c>
      <c r="G222" s="47" t="s">
        <v>32</v>
      </c>
      <c r="H222" s="52" t="str">
        <f>VLOOKUP(G222,ColorTable[],2,FALSE)</f>
        <v>192</v>
      </c>
      <c r="I222" s="52" t="str">
        <f>VLOOKUP(G222,ColorTable[],3,FALSE)</f>
        <v>192</v>
      </c>
      <c r="J222" s="52" t="str">
        <f>VLOOKUP(G222,ColorTable[],4,FALSE)</f>
        <v>192</v>
      </c>
      <c r="K222" s="98"/>
      <c r="L222" s="47"/>
    </row>
    <row r="223" spans="1:12" x14ac:dyDescent="0.2">
      <c r="A223" s="46" t="s">
        <v>394</v>
      </c>
      <c r="B223" s="96" t="s">
        <v>355</v>
      </c>
      <c r="C223" s="96" t="s">
        <v>332</v>
      </c>
      <c r="D223" s="97" t="s">
        <v>217</v>
      </c>
      <c r="E223" s="96" t="s">
        <v>19</v>
      </c>
      <c r="F223" s="96" t="s">
        <v>380</v>
      </c>
      <c r="G223" s="47" t="s">
        <v>158</v>
      </c>
      <c r="H223" s="52" t="str">
        <f>VLOOKUP(G223,ColorTable[],2,FALSE)</f>
        <v>0</v>
      </c>
      <c r="I223" s="52" t="str">
        <f>VLOOKUP(G223,ColorTable[],3,FALSE)</f>
        <v>116</v>
      </c>
      <c r="J223" s="52" t="str">
        <f>VLOOKUP(G223,ColorTable[],4,FALSE)</f>
        <v>161</v>
      </c>
      <c r="K223" s="98"/>
      <c r="L223" s="47"/>
    </row>
    <row r="224" spans="1:12" x14ac:dyDescent="0.2">
      <c r="A224" s="46" t="s">
        <v>394</v>
      </c>
      <c r="B224" s="96" t="s">
        <v>355</v>
      </c>
      <c r="C224" s="96" t="s">
        <v>154</v>
      </c>
      <c r="D224" s="97" t="s">
        <v>218</v>
      </c>
      <c r="E224" s="96" t="s">
        <v>19</v>
      </c>
      <c r="F224" s="96" t="s">
        <v>380</v>
      </c>
      <c r="G224" s="47" t="s">
        <v>36</v>
      </c>
      <c r="H224" s="52" t="str">
        <f>VLOOKUP(G224,ColorTable[],2,FALSE)</f>
        <v>184</v>
      </c>
      <c r="I224" s="52" t="str">
        <f>VLOOKUP(G224,ColorTable[],3,FALSE)</f>
        <v>210</v>
      </c>
      <c r="J224" s="52" t="str">
        <f>VLOOKUP(G224,ColorTable[],4,FALSE)</f>
        <v>100</v>
      </c>
      <c r="K224" s="98"/>
      <c r="L224" s="47"/>
    </row>
    <row r="225" spans="1:12" x14ac:dyDescent="0.2">
      <c r="A225" s="46" t="s">
        <v>394</v>
      </c>
      <c r="B225" s="96" t="s">
        <v>355</v>
      </c>
      <c r="C225" s="96" t="s">
        <v>155</v>
      </c>
      <c r="D225" s="97" t="s">
        <v>219</v>
      </c>
      <c r="E225" s="96" t="s">
        <v>19</v>
      </c>
      <c r="F225" s="96" t="s">
        <v>380</v>
      </c>
      <c r="G225" s="47" t="s">
        <v>21</v>
      </c>
      <c r="H225" s="52" t="str">
        <f>VLOOKUP(G225,ColorTable[],2,FALSE)</f>
        <v>113</v>
      </c>
      <c r="I225" s="52" t="str">
        <f>VLOOKUP(G225,ColorTable[],3,FALSE)</f>
        <v>171</v>
      </c>
      <c r="J225" s="52" t="str">
        <f>VLOOKUP(G225,ColorTable[],4,FALSE)</f>
        <v>26</v>
      </c>
      <c r="K225" s="98"/>
      <c r="L225" s="47"/>
    </row>
    <row r="226" spans="1:12" x14ac:dyDescent="0.2">
      <c r="A226" s="46" t="s">
        <v>394</v>
      </c>
      <c r="B226" s="96" t="s">
        <v>355</v>
      </c>
      <c r="C226" s="96" t="s">
        <v>156</v>
      </c>
      <c r="D226" s="97" t="s">
        <v>220</v>
      </c>
      <c r="E226" s="96" t="s">
        <v>19</v>
      </c>
      <c r="F226" s="96" t="s">
        <v>380</v>
      </c>
      <c r="G226" s="47" t="s">
        <v>21</v>
      </c>
      <c r="H226" s="52" t="str">
        <f>VLOOKUP(G226,ColorTable[],2,FALSE)</f>
        <v>113</v>
      </c>
      <c r="I226" s="52" t="str">
        <f>VLOOKUP(G226,ColorTable[],3,FALSE)</f>
        <v>171</v>
      </c>
      <c r="J226" s="52" t="str">
        <f>VLOOKUP(G226,ColorTable[],4,FALSE)</f>
        <v>26</v>
      </c>
      <c r="K226" s="98"/>
      <c r="L226" s="47"/>
    </row>
    <row r="227" spans="1:12" x14ac:dyDescent="0.2">
      <c r="A227" s="46" t="s">
        <v>394</v>
      </c>
      <c r="B227" s="96" t="s">
        <v>361</v>
      </c>
      <c r="C227" s="96" t="s">
        <v>153</v>
      </c>
      <c r="D227" s="97" t="s">
        <v>266</v>
      </c>
      <c r="E227" s="96" t="s">
        <v>18</v>
      </c>
      <c r="F227" s="96" t="s">
        <v>384</v>
      </c>
      <c r="G227" s="47" t="s">
        <v>32</v>
      </c>
      <c r="H227" s="52" t="str">
        <f>VLOOKUP(G227,ColorTable[],2,FALSE)</f>
        <v>192</v>
      </c>
      <c r="I227" s="52" t="str">
        <f>VLOOKUP(G227,ColorTable[],3,FALSE)</f>
        <v>192</v>
      </c>
      <c r="J227" s="52" t="str">
        <f>VLOOKUP(G227,ColorTable[],4,FALSE)</f>
        <v>192</v>
      </c>
      <c r="K227" s="98"/>
      <c r="L227" s="47"/>
    </row>
    <row r="228" spans="1:12" x14ac:dyDescent="0.2">
      <c r="A228" s="46" t="s">
        <v>394</v>
      </c>
      <c r="B228" s="96" t="s">
        <v>361</v>
      </c>
      <c r="C228" s="96" t="s">
        <v>332</v>
      </c>
      <c r="D228" s="97" t="s">
        <v>221</v>
      </c>
      <c r="E228" s="96" t="s">
        <v>19</v>
      </c>
      <c r="F228" s="96" t="s">
        <v>384</v>
      </c>
      <c r="G228" s="47" t="s">
        <v>158</v>
      </c>
      <c r="H228" s="52" t="str">
        <f>VLOOKUP(G228,ColorTable[],2,FALSE)</f>
        <v>0</v>
      </c>
      <c r="I228" s="52" t="str">
        <f>VLOOKUP(G228,ColorTable[],3,FALSE)</f>
        <v>116</v>
      </c>
      <c r="J228" s="52" t="str">
        <f>VLOOKUP(G228,ColorTable[],4,FALSE)</f>
        <v>161</v>
      </c>
      <c r="K228" s="98"/>
      <c r="L228" s="47"/>
    </row>
    <row r="229" spans="1:12" x14ac:dyDescent="0.2">
      <c r="A229" s="46" t="s">
        <v>394</v>
      </c>
      <c r="B229" s="96" t="s">
        <v>361</v>
      </c>
      <c r="C229" s="96" t="s">
        <v>154</v>
      </c>
      <c r="D229" s="97" t="s">
        <v>222</v>
      </c>
      <c r="E229" s="96" t="s">
        <v>19</v>
      </c>
      <c r="F229" s="96" t="s">
        <v>384</v>
      </c>
      <c r="G229" s="47" t="s">
        <v>36</v>
      </c>
      <c r="H229" s="52" t="str">
        <f>VLOOKUP(G229,ColorTable[],2,FALSE)</f>
        <v>184</v>
      </c>
      <c r="I229" s="52" t="str">
        <f>VLOOKUP(G229,ColorTable[],3,FALSE)</f>
        <v>210</v>
      </c>
      <c r="J229" s="52" t="str">
        <f>VLOOKUP(G229,ColorTable[],4,FALSE)</f>
        <v>100</v>
      </c>
      <c r="K229" s="98"/>
      <c r="L229" s="47"/>
    </row>
    <row r="230" spans="1:12" x14ac:dyDescent="0.2">
      <c r="A230" s="46" t="s">
        <v>394</v>
      </c>
      <c r="B230" s="96" t="s">
        <v>361</v>
      </c>
      <c r="C230" s="96" t="s">
        <v>155</v>
      </c>
      <c r="D230" s="97" t="s">
        <v>223</v>
      </c>
      <c r="E230" s="96" t="s">
        <v>19</v>
      </c>
      <c r="F230" s="96" t="s">
        <v>384</v>
      </c>
      <c r="G230" s="47" t="s">
        <v>21</v>
      </c>
      <c r="H230" s="52" t="str">
        <f>VLOOKUP(G230,ColorTable[],2,FALSE)</f>
        <v>113</v>
      </c>
      <c r="I230" s="52" t="str">
        <f>VLOOKUP(G230,ColorTable[],3,FALSE)</f>
        <v>171</v>
      </c>
      <c r="J230" s="52" t="str">
        <f>VLOOKUP(G230,ColorTable[],4,FALSE)</f>
        <v>26</v>
      </c>
      <c r="K230" s="98"/>
      <c r="L230" s="47"/>
    </row>
    <row r="231" spans="1:12" x14ac:dyDescent="0.2">
      <c r="A231" s="46" t="s">
        <v>394</v>
      </c>
      <c r="B231" s="96" t="s">
        <v>361</v>
      </c>
      <c r="C231" s="96" t="s">
        <v>156</v>
      </c>
      <c r="D231" s="97" t="s">
        <v>224</v>
      </c>
      <c r="E231" s="96" t="s">
        <v>19</v>
      </c>
      <c r="F231" s="96" t="s">
        <v>384</v>
      </c>
      <c r="G231" s="47" t="s">
        <v>21</v>
      </c>
      <c r="H231" s="52" t="str">
        <f>VLOOKUP(G231,ColorTable[],2,FALSE)</f>
        <v>113</v>
      </c>
      <c r="I231" s="52" t="str">
        <f>VLOOKUP(G231,ColorTable[],3,FALSE)</f>
        <v>171</v>
      </c>
      <c r="J231" s="52" t="str">
        <f>VLOOKUP(G231,ColorTable[],4,FALSE)</f>
        <v>26</v>
      </c>
      <c r="K231" s="98"/>
      <c r="L231" s="47"/>
    </row>
    <row r="232" spans="1:12" x14ac:dyDescent="0.2">
      <c r="A232" s="46" t="s">
        <v>394</v>
      </c>
      <c r="B232" s="96" t="s">
        <v>362</v>
      </c>
      <c r="C232" s="96" t="s">
        <v>153</v>
      </c>
      <c r="D232" s="97" t="s">
        <v>295</v>
      </c>
      <c r="E232" s="96" t="s">
        <v>18</v>
      </c>
      <c r="F232" s="96" t="s">
        <v>385</v>
      </c>
      <c r="G232" s="47" t="s">
        <v>32</v>
      </c>
      <c r="H232" s="52" t="str">
        <f>VLOOKUP(G232,ColorTable[],2,FALSE)</f>
        <v>192</v>
      </c>
      <c r="I232" s="52" t="str">
        <f>VLOOKUP(G232,ColorTable[],3,FALSE)</f>
        <v>192</v>
      </c>
      <c r="J232" s="52" t="str">
        <f>VLOOKUP(G232,ColorTable[],4,FALSE)</f>
        <v>192</v>
      </c>
      <c r="K232" s="98"/>
      <c r="L232" s="47"/>
    </row>
    <row r="233" spans="1:12" x14ac:dyDescent="0.2">
      <c r="A233" s="46" t="s">
        <v>394</v>
      </c>
      <c r="B233" s="96" t="s">
        <v>362</v>
      </c>
      <c r="C233" s="96" t="s">
        <v>332</v>
      </c>
      <c r="D233" s="97" t="s">
        <v>296</v>
      </c>
      <c r="E233" s="96" t="s">
        <v>19</v>
      </c>
      <c r="F233" s="96" t="s">
        <v>385</v>
      </c>
      <c r="G233" s="47" t="s">
        <v>158</v>
      </c>
      <c r="H233" s="52" t="str">
        <f>VLOOKUP(G233,ColorTable[],2,FALSE)</f>
        <v>0</v>
      </c>
      <c r="I233" s="52" t="str">
        <f>VLOOKUP(G233,ColorTable[],3,FALSE)</f>
        <v>116</v>
      </c>
      <c r="J233" s="52" t="str">
        <f>VLOOKUP(G233,ColorTable[],4,FALSE)</f>
        <v>161</v>
      </c>
      <c r="K233" s="98"/>
      <c r="L233" s="47"/>
    </row>
    <row r="234" spans="1:12" x14ac:dyDescent="0.2">
      <c r="A234" s="46" t="s">
        <v>394</v>
      </c>
      <c r="B234" s="96" t="s">
        <v>362</v>
      </c>
      <c r="C234" s="96" t="s">
        <v>154</v>
      </c>
      <c r="D234" s="97" t="s">
        <v>297</v>
      </c>
      <c r="E234" s="96" t="s">
        <v>19</v>
      </c>
      <c r="F234" s="96" t="s">
        <v>385</v>
      </c>
      <c r="G234" s="47" t="s">
        <v>36</v>
      </c>
      <c r="H234" s="52" t="str">
        <f>VLOOKUP(G234,ColorTable[],2,FALSE)</f>
        <v>184</v>
      </c>
      <c r="I234" s="52" t="str">
        <f>VLOOKUP(G234,ColorTable[],3,FALSE)</f>
        <v>210</v>
      </c>
      <c r="J234" s="52" t="str">
        <f>VLOOKUP(G234,ColorTable[],4,FALSE)</f>
        <v>100</v>
      </c>
      <c r="K234" s="98"/>
      <c r="L234" s="47"/>
    </row>
    <row r="235" spans="1:12" x14ac:dyDescent="0.2">
      <c r="A235" s="46" t="s">
        <v>394</v>
      </c>
      <c r="B235" s="96" t="s">
        <v>362</v>
      </c>
      <c r="C235" s="96" t="s">
        <v>155</v>
      </c>
      <c r="D235" s="97" t="s">
        <v>298</v>
      </c>
      <c r="E235" s="96" t="s">
        <v>19</v>
      </c>
      <c r="F235" s="96" t="s">
        <v>385</v>
      </c>
      <c r="G235" s="47" t="s">
        <v>21</v>
      </c>
      <c r="H235" s="52" t="str">
        <f>VLOOKUP(G235,ColorTable[],2,FALSE)</f>
        <v>113</v>
      </c>
      <c r="I235" s="52" t="str">
        <f>VLOOKUP(G235,ColorTable[],3,FALSE)</f>
        <v>171</v>
      </c>
      <c r="J235" s="52" t="str">
        <f>VLOOKUP(G235,ColorTable[],4,FALSE)</f>
        <v>26</v>
      </c>
      <c r="K235" s="98"/>
      <c r="L235" s="47"/>
    </row>
    <row r="236" spans="1:12" x14ac:dyDescent="0.2">
      <c r="A236" s="46" t="s">
        <v>394</v>
      </c>
      <c r="B236" s="96" t="s">
        <v>362</v>
      </c>
      <c r="C236" s="96" t="s">
        <v>156</v>
      </c>
      <c r="D236" s="97" t="s">
        <v>299</v>
      </c>
      <c r="E236" s="96" t="s">
        <v>19</v>
      </c>
      <c r="F236" s="96" t="s">
        <v>385</v>
      </c>
      <c r="G236" s="47" t="s">
        <v>21</v>
      </c>
      <c r="H236" s="52" t="str">
        <f>VLOOKUP(G236,ColorTable[],2,FALSE)</f>
        <v>113</v>
      </c>
      <c r="I236" s="52" t="str">
        <f>VLOOKUP(G236,ColorTable[],3,FALSE)</f>
        <v>171</v>
      </c>
      <c r="J236" s="52" t="str">
        <f>VLOOKUP(G236,ColorTable[],4,FALSE)</f>
        <v>26</v>
      </c>
      <c r="K236" s="98"/>
      <c r="L236" s="47"/>
    </row>
    <row r="237" spans="1:12" x14ac:dyDescent="0.2">
      <c r="A237" s="46" t="s">
        <v>394</v>
      </c>
      <c r="B237" s="96" t="s">
        <v>363</v>
      </c>
      <c r="C237" s="96" t="s">
        <v>153</v>
      </c>
      <c r="D237" s="97" t="s">
        <v>300</v>
      </c>
      <c r="E237" s="96" t="s">
        <v>18</v>
      </c>
      <c r="F237" s="96" t="s">
        <v>386</v>
      </c>
      <c r="G237" s="47" t="s">
        <v>32</v>
      </c>
      <c r="H237" s="52" t="str">
        <f>VLOOKUP(G237,ColorTable[],2,FALSE)</f>
        <v>192</v>
      </c>
      <c r="I237" s="52" t="str">
        <f>VLOOKUP(G237,ColorTable[],3,FALSE)</f>
        <v>192</v>
      </c>
      <c r="J237" s="52" t="str">
        <f>VLOOKUP(G237,ColorTable[],4,FALSE)</f>
        <v>192</v>
      </c>
      <c r="K237" s="98"/>
      <c r="L237" s="47"/>
    </row>
    <row r="238" spans="1:12" x14ac:dyDescent="0.2">
      <c r="A238" s="46" t="s">
        <v>394</v>
      </c>
      <c r="B238" s="96" t="s">
        <v>363</v>
      </c>
      <c r="C238" s="96" t="s">
        <v>332</v>
      </c>
      <c r="D238" s="97" t="s">
        <v>301</v>
      </c>
      <c r="E238" s="96" t="s">
        <v>19</v>
      </c>
      <c r="F238" s="96" t="s">
        <v>386</v>
      </c>
      <c r="G238" s="47" t="s">
        <v>158</v>
      </c>
      <c r="H238" s="52" t="str">
        <f>VLOOKUP(G238,ColorTable[],2,FALSE)</f>
        <v>0</v>
      </c>
      <c r="I238" s="52" t="str">
        <f>VLOOKUP(G238,ColorTable[],3,FALSE)</f>
        <v>116</v>
      </c>
      <c r="J238" s="52" t="str">
        <f>VLOOKUP(G238,ColorTable[],4,FALSE)</f>
        <v>161</v>
      </c>
      <c r="K238" s="98"/>
      <c r="L238" s="47"/>
    </row>
    <row r="239" spans="1:12" x14ac:dyDescent="0.2">
      <c r="A239" s="46" t="s">
        <v>394</v>
      </c>
      <c r="B239" s="96" t="s">
        <v>363</v>
      </c>
      <c r="C239" s="96" t="s">
        <v>154</v>
      </c>
      <c r="D239" s="97" t="s">
        <v>302</v>
      </c>
      <c r="E239" s="96" t="s">
        <v>19</v>
      </c>
      <c r="F239" s="96" t="s">
        <v>386</v>
      </c>
      <c r="G239" s="47" t="s">
        <v>36</v>
      </c>
      <c r="H239" s="52" t="str">
        <f>VLOOKUP(G239,ColorTable[],2,FALSE)</f>
        <v>184</v>
      </c>
      <c r="I239" s="52" t="str">
        <f>VLOOKUP(G239,ColorTable[],3,FALSE)</f>
        <v>210</v>
      </c>
      <c r="J239" s="52" t="str">
        <f>VLOOKUP(G239,ColorTable[],4,FALSE)</f>
        <v>100</v>
      </c>
      <c r="K239" s="98"/>
      <c r="L239" s="47"/>
    </row>
    <row r="240" spans="1:12" x14ac:dyDescent="0.2">
      <c r="A240" s="46" t="s">
        <v>394</v>
      </c>
      <c r="B240" s="96" t="s">
        <v>363</v>
      </c>
      <c r="C240" s="96" t="s">
        <v>155</v>
      </c>
      <c r="D240" s="97" t="s">
        <v>303</v>
      </c>
      <c r="E240" s="96" t="s">
        <v>19</v>
      </c>
      <c r="F240" s="96" t="s">
        <v>386</v>
      </c>
      <c r="G240" s="47" t="s">
        <v>21</v>
      </c>
      <c r="H240" s="52" t="str">
        <f>VLOOKUP(G240,ColorTable[],2,FALSE)</f>
        <v>113</v>
      </c>
      <c r="I240" s="52" t="str">
        <f>VLOOKUP(G240,ColorTable[],3,FALSE)</f>
        <v>171</v>
      </c>
      <c r="J240" s="52" t="str">
        <f>VLOOKUP(G240,ColorTable[],4,FALSE)</f>
        <v>26</v>
      </c>
      <c r="K240" s="98"/>
      <c r="L240" s="47"/>
    </row>
    <row r="241" spans="1:12" x14ac:dyDescent="0.2">
      <c r="A241" s="46" t="s">
        <v>394</v>
      </c>
      <c r="B241" s="96" t="s">
        <v>363</v>
      </c>
      <c r="C241" s="96" t="s">
        <v>156</v>
      </c>
      <c r="D241" s="97" t="s">
        <v>304</v>
      </c>
      <c r="E241" s="96" t="s">
        <v>19</v>
      </c>
      <c r="F241" s="96" t="s">
        <v>386</v>
      </c>
      <c r="G241" s="47" t="s">
        <v>21</v>
      </c>
      <c r="H241" s="52" t="str">
        <f>VLOOKUP(G241,ColorTable[],2,FALSE)</f>
        <v>113</v>
      </c>
      <c r="I241" s="52" t="str">
        <f>VLOOKUP(G241,ColorTable[],3,FALSE)</f>
        <v>171</v>
      </c>
      <c r="J241" s="52" t="str">
        <f>VLOOKUP(G241,ColorTable[],4,FALSE)</f>
        <v>26</v>
      </c>
      <c r="K241" s="98"/>
      <c r="L241" s="47"/>
    </row>
    <row r="242" spans="1:12" x14ac:dyDescent="0.2">
      <c r="A242" s="46" t="s">
        <v>415</v>
      </c>
      <c r="B242" s="96" t="s">
        <v>357</v>
      </c>
      <c r="C242" s="96" t="s">
        <v>153</v>
      </c>
      <c r="D242" s="97" t="s">
        <v>416</v>
      </c>
      <c r="E242" s="96" t="s">
        <v>18</v>
      </c>
      <c r="F242" s="96" t="s">
        <v>356</v>
      </c>
      <c r="G242" s="47" t="s">
        <v>32</v>
      </c>
      <c r="H242" s="52" t="str">
        <f>VLOOKUP(G242,ColorTable[],2,FALSE)</f>
        <v>192</v>
      </c>
      <c r="I242" s="52" t="str">
        <f>VLOOKUP(G242,ColorTable[],3,FALSE)</f>
        <v>192</v>
      </c>
      <c r="J242" s="52" t="str">
        <f>VLOOKUP(G242,ColorTable[],4,FALSE)</f>
        <v>192</v>
      </c>
      <c r="K242" s="99">
        <v>43020.520312499997</v>
      </c>
      <c r="L242" s="47" t="s">
        <v>414</v>
      </c>
    </row>
    <row r="243" spans="1:12" x14ac:dyDescent="0.2">
      <c r="A243" s="46" t="s">
        <v>415</v>
      </c>
      <c r="B243" s="96" t="s">
        <v>357</v>
      </c>
      <c r="C243" s="96" t="s">
        <v>332</v>
      </c>
      <c r="D243" s="97" t="s">
        <v>417</v>
      </c>
      <c r="E243" s="96" t="s">
        <v>19</v>
      </c>
      <c r="F243" s="96" t="s">
        <v>356</v>
      </c>
      <c r="G243" s="47" t="s">
        <v>158</v>
      </c>
      <c r="H243" s="52" t="str">
        <f>VLOOKUP(G243,ColorTable[],2,FALSE)</f>
        <v>0</v>
      </c>
      <c r="I243" s="52" t="str">
        <f>VLOOKUP(G243,ColorTable[],3,FALSE)</f>
        <v>116</v>
      </c>
      <c r="J243" s="52" t="str">
        <f>VLOOKUP(G243,ColorTable[],4,FALSE)</f>
        <v>161</v>
      </c>
      <c r="K243" s="98"/>
      <c r="L243" s="47"/>
    </row>
    <row r="244" spans="1:12" x14ac:dyDescent="0.2">
      <c r="A244" s="46" t="s">
        <v>415</v>
      </c>
      <c r="B244" s="96" t="s">
        <v>357</v>
      </c>
      <c r="C244" s="96" t="s">
        <v>154</v>
      </c>
      <c r="D244" s="97" t="s">
        <v>418</v>
      </c>
      <c r="E244" s="96" t="s">
        <v>19</v>
      </c>
      <c r="F244" s="96" t="s">
        <v>356</v>
      </c>
      <c r="G244" s="47" t="s">
        <v>36</v>
      </c>
      <c r="H244" s="52" t="str">
        <f>VLOOKUP(G244,ColorTable[],2,FALSE)</f>
        <v>184</v>
      </c>
      <c r="I244" s="52" t="str">
        <f>VLOOKUP(G244,ColorTable[],3,FALSE)</f>
        <v>210</v>
      </c>
      <c r="J244" s="52" t="str">
        <f>VLOOKUP(G244,ColorTable[],4,FALSE)</f>
        <v>100</v>
      </c>
      <c r="K244" s="98"/>
      <c r="L244" s="47"/>
    </row>
    <row r="245" spans="1:12" x14ac:dyDescent="0.2">
      <c r="A245" s="46" t="s">
        <v>415</v>
      </c>
      <c r="B245" s="96" t="s">
        <v>357</v>
      </c>
      <c r="C245" s="96" t="s">
        <v>155</v>
      </c>
      <c r="D245" s="97" t="s">
        <v>419</v>
      </c>
      <c r="E245" s="96" t="s">
        <v>19</v>
      </c>
      <c r="F245" s="96" t="s">
        <v>356</v>
      </c>
      <c r="G245" s="47" t="s">
        <v>21</v>
      </c>
      <c r="H245" s="52" t="str">
        <f>VLOOKUP(G245,ColorTable[],2,FALSE)</f>
        <v>113</v>
      </c>
      <c r="I245" s="52" t="str">
        <f>VLOOKUP(G245,ColorTable[],3,FALSE)</f>
        <v>171</v>
      </c>
      <c r="J245" s="52" t="str">
        <f>VLOOKUP(G245,ColorTable[],4,FALSE)</f>
        <v>26</v>
      </c>
      <c r="K245" s="98"/>
      <c r="L245" s="47"/>
    </row>
    <row r="246" spans="1:12" x14ac:dyDescent="0.2">
      <c r="A246" s="46" t="s">
        <v>415</v>
      </c>
      <c r="B246" s="96" t="s">
        <v>357</v>
      </c>
      <c r="C246" s="96" t="s">
        <v>156</v>
      </c>
      <c r="D246" s="97" t="s">
        <v>420</v>
      </c>
      <c r="E246" s="96" t="s">
        <v>19</v>
      </c>
      <c r="F246" s="96" t="s">
        <v>356</v>
      </c>
      <c r="G246" s="47" t="s">
        <v>21</v>
      </c>
      <c r="H246" s="52" t="str">
        <f>VLOOKUP(G246,ColorTable[],2,FALSE)</f>
        <v>113</v>
      </c>
      <c r="I246" s="52" t="str">
        <f>VLOOKUP(G246,ColorTable[],3,FALSE)</f>
        <v>171</v>
      </c>
      <c r="J246" s="52" t="str">
        <f>VLOOKUP(G246,ColorTable[],4,FALSE)</f>
        <v>26</v>
      </c>
      <c r="K246" s="98"/>
      <c r="L246" s="47"/>
    </row>
    <row r="247" spans="1:12" x14ac:dyDescent="0.2">
      <c r="A247" s="46" t="s">
        <v>415</v>
      </c>
      <c r="B247" s="96" t="s">
        <v>358</v>
      </c>
      <c r="C247" s="96" t="s">
        <v>153</v>
      </c>
      <c r="D247" s="97" t="s">
        <v>421</v>
      </c>
      <c r="E247" s="96" t="s">
        <v>18</v>
      </c>
      <c r="F247" s="96" t="s">
        <v>381</v>
      </c>
      <c r="G247" s="47" t="s">
        <v>32</v>
      </c>
      <c r="H247" s="52" t="str">
        <f>VLOOKUP(G247,ColorTable[],2,FALSE)</f>
        <v>192</v>
      </c>
      <c r="I247" s="52" t="str">
        <f>VLOOKUP(G247,ColorTable[],3,FALSE)</f>
        <v>192</v>
      </c>
      <c r="J247" s="52" t="str">
        <f>VLOOKUP(G247,ColorTable[],4,FALSE)</f>
        <v>192</v>
      </c>
      <c r="K247" s="98"/>
      <c r="L247" s="47"/>
    </row>
    <row r="248" spans="1:12" x14ac:dyDescent="0.2">
      <c r="A248" s="46" t="s">
        <v>415</v>
      </c>
      <c r="B248" s="96" t="s">
        <v>358</v>
      </c>
      <c r="C248" s="96" t="s">
        <v>332</v>
      </c>
      <c r="D248" s="97" t="s">
        <v>422</v>
      </c>
      <c r="E248" s="96" t="s">
        <v>19</v>
      </c>
      <c r="F248" s="96" t="s">
        <v>381</v>
      </c>
      <c r="G248" s="47" t="s">
        <v>158</v>
      </c>
      <c r="H248" s="52" t="str">
        <f>VLOOKUP(G248,ColorTable[],2,FALSE)</f>
        <v>0</v>
      </c>
      <c r="I248" s="52" t="str">
        <f>VLOOKUP(G248,ColorTable[],3,FALSE)</f>
        <v>116</v>
      </c>
      <c r="J248" s="52" t="str">
        <f>VLOOKUP(G248,ColorTable[],4,FALSE)</f>
        <v>161</v>
      </c>
      <c r="K248" s="98"/>
      <c r="L248" s="47"/>
    </row>
    <row r="249" spans="1:12" x14ac:dyDescent="0.2">
      <c r="A249" s="46" t="s">
        <v>415</v>
      </c>
      <c r="B249" s="96" t="s">
        <v>358</v>
      </c>
      <c r="C249" s="96" t="s">
        <v>154</v>
      </c>
      <c r="D249" s="97" t="s">
        <v>423</v>
      </c>
      <c r="E249" s="96" t="s">
        <v>19</v>
      </c>
      <c r="F249" s="96" t="s">
        <v>381</v>
      </c>
      <c r="G249" s="47" t="s">
        <v>36</v>
      </c>
      <c r="H249" s="52" t="str">
        <f>VLOOKUP(G249,ColorTable[],2,FALSE)</f>
        <v>184</v>
      </c>
      <c r="I249" s="52" t="str">
        <f>VLOOKUP(G249,ColorTable[],3,FALSE)</f>
        <v>210</v>
      </c>
      <c r="J249" s="52" t="str">
        <f>VLOOKUP(G249,ColorTable[],4,FALSE)</f>
        <v>100</v>
      </c>
      <c r="K249" s="98"/>
      <c r="L249" s="47"/>
    </row>
    <row r="250" spans="1:12" x14ac:dyDescent="0.2">
      <c r="A250" s="46" t="s">
        <v>415</v>
      </c>
      <c r="B250" s="96" t="s">
        <v>358</v>
      </c>
      <c r="C250" s="96" t="s">
        <v>155</v>
      </c>
      <c r="D250" s="97" t="s">
        <v>424</v>
      </c>
      <c r="E250" s="96" t="s">
        <v>19</v>
      </c>
      <c r="F250" s="96" t="s">
        <v>381</v>
      </c>
      <c r="G250" s="47" t="s">
        <v>21</v>
      </c>
      <c r="H250" s="52" t="str">
        <f>VLOOKUP(G250,ColorTable[],2,FALSE)</f>
        <v>113</v>
      </c>
      <c r="I250" s="52" t="str">
        <f>VLOOKUP(G250,ColorTable[],3,FALSE)</f>
        <v>171</v>
      </c>
      <c r="J250" s="52" t="str">
        <f>VLOOKUP(G250,ColorTable[],4,FALSE)</f>
        <v>26</v>
      </c>
      <c r="K250" s="98"/>
      <c r="L250" s="47"/>
    </row>
    <row r="251" spans="1:12" x14ac:dyDescent="0.2">
      <c r="A251" s="46" t="s">
        <v>415</v>
      </c>
      <c r="B251" s="96" t="s">
        <v>358</v>
      </c>
      <c r="C251" s="96" t="s">
        <v>156</v>
      </c>
      <c r="D251" s="97" t="s">
        <v>425</v>
      </c>
      <c r="E251" s="96" t="s">
        <v>19</v>
      </c>
      <c r="F251" s="96" t="s">
        <v>381</v>
      </c>
      <c r="G251" s="47" t="s">
        <v>21</v>
      </c>
      <c r="H251" s="52" t="str">
        <f>VLOOKUP(G251,ColorTable[],2,FALSE)</f>
        <v>113</v>
      </c>
      <c r="I251" s="52" t="str">
        <f>VLOOKUP(G251,ColorTable[],3,FALSE)</f>
        <v>171</v>
      </c>
      <c r="J251" s="52" t="str">
        <f>VLOOKUP(G251,ColorTable[],4,FALSE)</f>
        <v>26</v>
      </c>
      <c r="K251" s="98"/>
      <c r="L251" s="47"/>
    </row>
    <row r="252" spans="1:12" x14ac:dyDescent="0.2">
      <c r="A252" s="46" t="s">
        <v>415</v>
      </c>
      <c r="B252" s="96" t="s">
        <v>359</v>
      </c>
      <c r="C252" s="96" t="s">
        <v>153</v>
      </c>
      <c r="D252" s="97" t="s">
        <v>426</v>
      </c>
      <c r="E252" s="96" t="s">
        <v>18</v>
      </c>
      <c r="F252" s="96" t="s">
        <v>382</v>
      </c>
      <c r="G252" s="47" t="s">
        <v>32</v>
      </c>
      <c r="H252" s="52" t="str">
        <f>VLOOKUP(G252,ColorTable[],2,FALSE)</f>
        <v>192</v>
      </c>
      <c r="I252" s="52" t="str">
        <f>VLOOKUP(G252,ColorTable[],3,FALSE)</f>
        <v>192</v>
      </c>
      <c r="J252" s="52" t="str">
        <f>VLOOKUP(G252,ColorTable[],4,FALSE)</f>
        <v>192</v>
      </c>
      <c r="K252" s="98"/>
      <c r="L252" s="47"/>
    </row>
    <row r="253" spans="1:12" x14ac:dyDescent="0.2">
      <c r="A253" s="46" t="s">
        <v>415</v>
      </c>
      <c r="B253" s="96" t="s">
        <v>359</v>
      </c>
      <c r="C253" s="96" t="s">
        <v>332</v>
      </c>
      <c r="D253" s="97" t="s">
        <v>427</v>
      </c>
      <c r="E253" s="96" t="s">
        <v>19</v>
      </c>
      <c r="F253" s="96" t="s">
        <v>382</v>
      </c>
      <c r="G253" s="47" t="s">
        <v>158</v>
      </c>
      <c r="H253" s="52" t="str">
        <f>VLOOKUP(G253,ColorTable[],2,FALSE)</f>
        <v>0</v>
      </c>
      <c r="I253" s="52" t="str">
        <f>VLOOKUP(G253,ColorTable[],3,FALSE)</f>
        <v>116</v>
      </c>
      <c r="J253" s="52" t="str">
        <f>VLOOKUP(G253,ColorTable[],4,FALSE)</f>
        <v>161</v>
      </c>
      <c r="K253" s="98"/>
      <c r="L253" s="47"/>
    </row>
    <row r="254" spans="1:12" x14ac:dyDescent="0.2">
      <c r="A254" s="46" t="s">
        <v>415</v>
      </c>
      <c r="B254" s="96" t="s">
        <v>359</v>
      </c>
      <c r="C254" s="96" t="s">
        <v>154</v>
      </c>
      <c r="D254" s="97" t="s">
        <v>428</v>
      </c>
      <c r="E254" s="96" t="s">
        <v>19</v>
      </c>
      <c r="F254" s="96" t="s">
        <v>382</v>
      </c>
      <c r="G254" s="47" t="s">
        <v>36</v>
      </c>
      <c r="H254" s="52" t="str">
        <f>VLOOKUP(G254,ColorTable[],2,FALSE)</f>
        <v>184</v>
      </c>
      <c r="I254" s="52" t="str">
        <f>VLOOKUP(G254,ColorTable[],3,FALSE)</f>
        <v>210</v>
      </c>
      <c r="J254" s="52" t="str">
        <f>VLOOKUP(G254,ColorTable[],4,FALSE)</f>
        <v>100</v>
      </c>
      <c r="K254" s="98"/>
      <c r="L254" s="47"/>
    </row>
    <row r="255" spans="1:12" x14ac:dyDescent="0.2">
      <c r="A255" s="46" t="s">
        <v>415</v>
      </c>
      <c r="B255" s="96" t="s">
        <v>359</v>
      </c>
      <c r="C255" s="96" t="s">
        <v>155</v>
      </c>
      <c r="D255" s="97" t="s">
        <v>429</v>
      </c>
      <c r="E255" s="96" t="s">
        <v>19</v>
      </c>
      <c r="F255" s="96" t="s">
        <v>382</v>
      </c>
      <c r="G255" s="47" t="s">
        <v>21</v>
      </c>
      <c r="H255" s="52" t="str">
        <f>VLOOKUP(G255,ColorTable[],2,FALSE)</f>
        <v>113</v>
      </c>
      <c r="I255" s="52" t="str">
        <f>VLOOKUP(G255,ColorTable[],3,FALSE)</f>
        <v>171</v>
      </c>
      <c r="J255" s="52" t="str">
        <f>VLOOKUP(G255,ColorTable[],4,FALSE)</f>
        <v>26</v>
      </c>
      <c r="K255" s="98"/>
      <c r="L255" s="47"/>
    </row>
    <row r="256" spans="1:12" x14ac:dyDescent="0.2">
      <c r="A256" s="46" t="s">
        <v>415</v>
      </c>
      <c r="B256" s="96" t="s">
        <v>359</v>
      </c>
      <c r="C256" s="96" t="s">
        <v>156</v>
      </c>
      <c r="D256" s="97" t="s">
        <v>430</v>
      </c>
      <c r="E256" s="96" t="s">
        <v>19</v>
      </c>
      <c r="F256" s="96" t="s">
        <v>382</v>
      </c>
      <c r="G256" s="47" t="s">
        <v>21</v>
      </c>
      <c r="H256" s="52" t="str">
        <f>VLOOKUP(G256,ColorTable[],2,FALSE)</f>
        <v>113</v>
      </c>
      <c r="I256" s="52" t="str">
        <f>VLOOKUP(G256,ColorTable[],3,FALSE)</f>
        <v>171</v>
      </c>
      <c r="J256" s="52" t="str">
        <f>VLOOKUP(G256,ColorTable[],4,FALSE)</f>
        <v>26</v>
      </c>
      <c r="K256" s="98"/>
      <c r="L256" s="47"/>
    </row>
    <row r="257" spans="1:12" x14ac:dyDescent="0.2">
      <c r="A257" s="46" t="s">
        <v>415</v>
      </c>
      <c r="B257" s="96" t="s">
        <v>360</v>
      </c>
      <c r="C257" s="96" t="s">
        <v>153</v>
      </c>
      <c r="D257" s="97" t="s">
        <v>431</v>
      </c>
      <c r="E257" s="96" t="s">
        <v>18</v>
      </c>
      <c r="F257" s="96" t="s">
        <v>383</v>
      </c>
      <c r="G257" s="47" t="s">
        <v>32</v>
      </c>
      <c r="H257" s="52" t="str">
        <f>VLOOKUP(G257,ColorTable[],2,FALSE)</f>
        <v>192</v>
      </c>
      <c r="I257" s="52" t="str">
        <f>VLOOKUP(G257,ColorTable[],3,FALSE)</f>
        <v>192</v>
      </c>
      <c r="J257" s="52" t="str">
        <f>VLOOKUP(G257,ColorTable[],4,FALSE)</f>
        <v>192</v>
      </c>
      <c r="K257" s="98"/>
      <c r="L257" s="47"/>
    </row>
    <row r="258" spans="1:12" x14ac:dyDescent="0.2">
      <c r="A258" s="46" t="s">
        <v>415</v>
      </c>
      <c r="B258" s="96" t="s">
        <v>360</v>
      </c>
      <c r="C258" s="96" t="s">
        <v>332</v>
      </c>
      <c r="D258" s="97" t="s">
        <v>432</v>
      </c>
      <c r="E258" s="96" t="s">
        <v>19</v>
      </c>
      <c r="F258" s="96" t="s">
        <v>383</v>
      </c>
      <c r="G258" s="47" t="s">
        <v>158</v>
      </c>
      <c r="H258" s="52" t="str">
        <f>VLOOKUP(G258,ColorTable[],2,FALSE)</f>
        <v>0</v>
      </c>
      <c r="I258" s="52" t="str">
        <f>VLOOKUP(G258,ColorTable[],3,FALSE)</f>
        <v>116</v>
      </c>
      <c r="J258" s="52" t="str">
        <f>VLOOKUP(G258,ColorTable[],4,FALSE)</f>
        <v>161</v>
      </c>
      <c r="K258" s="98"/>
      <c r="L258" s="47"/>
    </row>
    <row r="259" spans="1:12" x14ac:dyDescent="0.2">
      <c r="A259" s="46" t="s">
        <v>415</v>
      </c>
      <c r="B259" s="96" t="s">
        <v>360</v>
      </c>
      <c r="C259" s="96" t="s">
        <v>154</v>
      </c>
      <c r="D259" s="97" t="s">
        <v>433</v>
      </c>
      <c r="E259" s="96" t="s">
        <v>19</v>
      </c>
      <c r="F259" s="96" t="s">
        <v>383</v>
      </c>
      <c r="G259" s="47" t="s">
        <v>36</v>
      </c>
      <c r="H259" s="52" t="str">
        <f>VLOOKUP(G259,ColorTable[],2,FALSE)</f>
        <v>184</v>
      </c>
      <c r="I259" s="52" t="str">
        <f>VLOOKUP(G259,ColorTable[],3,FALSE)</f>
        <v>210</v>
      </c>
      <c r="J259" s="52" t="str">
        <f>VLOOKUP(G259,ColorTable[],4,FALSE)</f>
        <v>100</v>
      </c>
      <c r="K259" s="98"/>
      <c r="L259" s="47"/>
    </row>
    <row r="260" spans="1:12" x14ac:dyDescent="0.2">
      <c r="A260" s="46" t="s">
        <v>415</v>
      </c>
      <c r="B260" s="96" t="s">
        <v>360</v>
      </c>
      <c r="C260" s="96" t="s">
        <v>155</v>
      </c>
      <c r="D260" s="97" t="s">
        <v>434</v>
      </c>
      <c r="E260" s="96" t="s">
        <v>19</v>
      </c>
      <c r="F260" s="96" t="s">
        <v>383</v>
      </c>
      <c r="G260" s="47" t="s">
        <v>21</v>
      </c>
      <c r="H260" s="52" t="str">
        <f>VLOOKUP(G260,ColorTable[],2,FALSE)</f>
        <v>113</v>
      </c>
      <c r="I260" s="52" t="str">
        <f>VLOOKUP(G260,ColorTable[],3,FALSE)</f>
        <v>171</v>
      </c>
      <c r="J260" s="52" t="str">
        <f>VLOOKUP(G260,ColorTable[],4,FALSE)</f>
        <v>26</v>
      </c>
      <c r="K260" s="98"/>
      <c r="L260" s="47"/>
    </row>
    <row r="261" spans="1:12" x14ac:dyDescent="0.2">
      <c r="A261" s="46" t="s">
        <v>415</v>
      </c>
      <c r="B261" s="96" t="s">
        <v>360</v>
      </c>
      <c r="C261" s="96" t="s">
        <v>156</v>
      </c>
      <c r="D261" s="97" t="s">
        <v>435</v>
      </c>
      <c r="E261" s="96" t="s">
        <v>19</v>
      </c>
      <c r="F261" s="96" t="s">
        <v>383</v>
      </c>
      <c r="G261" s="47" t="s">
        <v>21</v>
      </c>
      <c r="H261" s="52" t="str">
        <f>VLOOKUP(G261,ColorTable[],2,FALSE)</f>
        <v>113</v>
      </c>
      <c r="I261" s="52" t="str">
        <f>VLOOKUP(G261,ColorTable[],3,FALSE)</f>
        <v>171</v>
      </c>
      <c r="J261" s="52" t="str">
        <f>VLOOKUP(G261,ColorTable[],4,FALSE)</f>
        <v>26</v>
      </c>
      <c r="K261" s="98"/>
      <c r="L261" s="47"/>
    </row>
    <row r="262" spans="1:12" x14ac:dyDescent="0.2">
      <c r="A262" s="46" t="s">
        <v>415</v>
      </c>
      <c r="B262" s="96" t="s">
        <v>364</v>
      </c>
      <c r="C262" s="96" t="s">
        <v>153</v>
      </c>
      <c r="D262" s="97" t="s">
        <v>436</v>
      </c>
      <c r="E262" s="96" t="s">
        <v>18</v>
      </c>
      <c r="F262" s="96" t="s">
        <v>387</v>
      </c>
      <c r="G262" s="47" t="s">
        <v>32</v>
      </c>
      <c r="H262" s="52" t="str">
        <f>VLOOKUP(G262,ColorTable[],2,FALSE)</f>
        <v>192</v>
      </c>
      <c r="I262" s="52" t="str">
        <f>VLOOKUP(G262,ColorTable[],3,FALSE)</f>
        <v>192</v>
      </c>
      <c r="J262" s="52" t="str">
        <f>VLOOKUP(G262,ColorTable[],4,FALSE)</f>
        <v>192</v>
      </c>
      <c r="K262" s="98"/>
      <c r="L262" s="47"/>
    </row>
    <row r="263" spans="1:12" x14ac:dyDescent="0.2">
      <c r="A263" s="46" t="s">
        <v>415</v>
      </c>
      <c r="B263" s="96" t="s">
        <v>364</v>
      </c>
      <c r="C263" s="96" t="s">
        <v>332</v>
      </c>
      <c r="D263" s="97" t="s">
        <v>437</v>
      </c>
      <c r="E263" s="96" t="s">
        <v>19</v>
      </c>
      <c r="F263" s="96" t="s">
        <v>387</v>
      </c>
      <c r="G263" s="47" t="s">
        <v>158</v>
      </c>
      <c r="H263" s="52" t="str">
        <f>VLOOKUP(G263,ColorTable[],2,FALSE)</f>
        <v>0</v>
      </c>
      <c r="I263" s="52" t="str">
        <f>VLOOKUP(G263,ColorTable[],3,FALSE)</f>
        <v>116</v>
      </c>
      <c r="J263" s="52" t="str">
        <f>VLOOKUP(G263,ColorTable[],4,FALSE)</f>
        <v>161</v>
      </c>
      <c r="K263" s="98"/>
      <c r="L263" s="47"/>
    </row>
    <row r="264" spans="1:12" x14ac:dyDescent="0.2">
      <c r="A264" s="46" t="s">
        <v>415</v>
      </c>
      <c r="B264" s="96" t="s">
        <v>364</v>
      </c>
      <c r="C264" s="96" t="s">
        <v>154</v>
      </c>
      <c r="D264" s="97" t="s">
        <v>438</v>
      </c>
      <c r="E264" s="96" t="s">
        <v>19</v>
      </c>
      <c r="F264" s="96" t="s">
        <v>387</v>
      </c>
      <c r="G264" s="47" t="s">
        <v>36</v>
      </c>
      <c r="H264" s="52" t="str">
        <f>VLOOKUP(G264,ColorTable[],2,FALSE)</f>
        <v>184</v>
      </c>
      <c r="I264" s="52" t="str">
        <f>VLOOKUP(G264,ColorTable[],3,FALSE)</f>
        <v>210</v>
      </c>
      <c r="J264" s="52" t="str">
        <f>VLOOKUP(G264,ColorTable[],4,FALSE)</f>
        <v>100</v>
      </c>
      <c r="K264" s="98"/>
      <c r="L264" s="47"/>
    </row>
    <row r="265" spans="1:12" x14ac:dyDescent="0.2">
      <c r="A265" s="46" t="s">
        <v>415</v>
      </c>
      <c r="B265" s="96" t="s">
        <v>364</v>
      </c>
      <c r="C265" s="96" t="s">
        <v>155</v>
      </c>
      <c r="D265" s="97" t="s">
        <v>439</v>
      </c>
      <c r="E265" s="96" t="s">
        <v>19</v>
      </c>
      <c r="F265" s="96" t="s">
        <v>387</v>
      </c>
      <c r="G265" s="47" t="s">
        <v>21</v>
      </c>
      <c r="H265" s="52" t="str">
        <f>VLOOKUP(G265,ColorTable[],2,FALSE)</f>
        <v>113</v>
      </c>
      <c r="I265" s="52" t="str">
        <f>VLOOKUP(G265,ColorTable[],3,FALSE)</f>
        <v>171</v>
      </c>
      <c r="J265" s="52" t="str">
        <f>VLOOKUP(G265,ColorTable[],4,FALSE)</f>
        <v>26</v>
      </c>
      <c r="K265" s="98"/>
      <c r="L265" s="47"/>
    </row>
    <row r="266" spans="1:12" x14ac:dyDescent="0.2">
      <c r="A266" s="46" t="s">
        <v>415</v>
      </c>
      <c r="B266" s="96" t="s">
        <v>364</v>
      </c>
      <c r="C266" s="96" t="s">
        <v>156</v>
      </c>
      <c r="D266" s="97" t="s">
        <v>440</v>
      </c>
      <c r="E266" s="96" t="s">
        <v>19</v>
      </c>
      <c r="F266" s="96" t="s">
        <v>387</v>
      </c>
      <c r="G266" s="47" t="s">
        <v>21</v>
      </c>
      <c r="H266" s="52" t="str">
        <f>VLOOKUP(G266,ColorTable[],2,FALSE)</f>
        <v>113</v>
      </c>
      <c r="I266" s="52" t="str">
        <f>VLOOKUP(G266,ColorTable[],3,FALSE)</f>
        <v>171</v>
      </c>
      <c r="J266" s="52" t="str">
        <f>VLOOKUP(G266,ColorTable[],4,FALSE)</f>
        <v>26</v>
      </c>
      <c r="K266" s="98"/>
      <c r="L266" s="47"/>
    </row>
    <row r="267" spans="1:12" x14ac:dyDescent="0.2">
      <c r="A267" s="46" t="s">
        <v>415</v>
      </c>
      <c r="B267" s="96" t="s">
        <v>348</v>
      </c>
      <c r="C267" s="96" t="s">
        <v>153</v>
      </c>
      <c r="D267" s="97" t="s">
        <v>441</v>
      </c>
      <c r="E267" s="96" t="s">
        <v>18</v>
      </c>
      <c r="F267" s="96" t="s">
        <v>373</v>
      </c>
      <c r="G267" s="47" t="s">
        <v>32</v>
      </c>
      <c r="H267" s="52" t="str">
        <f>VLOOKUP(G267,ColorTable[],2,FALSE)</f>
        <v>192</v>
      </c>
      <c r="I267" s="52" t="str">
        <f>VLOOKUP(G267,ColorTable[],3,FALSE)</f>
        <v>192</v>
      </c>
      <c r="J267" s="52" t="str">
        <f>VLOOKUP(G267,ColorTable[],4,FALSE)</f>
        <v>192</v>
      </c>
      <c r="K267" s="98"/>
      <c r="L267" s="47"/>
    </row>
    <row r="268" spans="1:12" x14ac:dyDescent="0.2">
      <c r="A268" s="46" t="s">
        <v>415</v>
      </c>
      <c r="B268" s="96" t="s">
        <v>348</v>
      </c>
      <c r="C268" s="96" t="s">
        <v>332</v>
      </c>
      <c r="D268" s="97" t="s">
        <v>442</v>
      </c>
      <c r="E268" s="96" t="s">
        <v>19</v>
      </c>
      <c r="F268" s="96" t="s">
        <v>373</v>
      </c>
      <c r="G268" s="47" t="s">
        <v>158</v>
      </c>
      <c r="H268" s="52" t="str">
        <f>VLOOKUP(G268,ColorTable[],2,FALSE)</f>
        <v>0</v>
      </c>
      <c r="I268" s="52" t="str">
        <f>VLOOKUP(G268,ColorTable[],3,FALSE)</f>
        <v>116</v>
      </c>
      <c r="J268" s="52" t="str">
        <f>VLOOKUP(G268,ColorTable[],4,FALSE)</f>
        <v>161</v>
      </c>
      <c r="K268" s="98"/>
      <c r="L268" s="47"/>
    </row>
    <row r="269" spans="1:12" x14ac:dyDescent="0.2">
      <c r="A269" s="46" t="s">
        <v>415</v>
      </c>
      <c r="B269" s="96" t="s">
        <v>348</v>
      </c>
      <c r="C269" s="96" t="s">
        <v>154</v>
      </c>
      <c r="D269" s="97" t="s">
        <v>443</v>
      </c>
      <c r="E269" s="96" t="s">
        <v>19</v>
      </c>
      <c r="F269" s="96" t="s">
        <v>373</v>
      </c>
      <c r="G269" s="47" t="s">
        <v>36</v>
      </c>
      <c r="H269" s="52" t="str">
        <f>VLOOKUP(G269,ColorTable[],2,FALSE)</f>
        <v>184</v>
      </c>
      <c r="I269" s="52" t="str">
        <f>VLOOKUP(G269,ColorTable[],3,FALSE)</f>
        <v>210</v>
      </c>
      <c r="J269" s="52" t="str">
        <f>VLOOKUP(G269,ColorTable[],4,FALSE)</f>
        <v>100</v>
      </c>
      <c r="K269" s="98"/>
      <c r="L269" s="47"/>
    </row>
    <row r="270" spans="1:12" x14ac:dyDescent="0.2">
      <c r="A270" s="46" t="s">
        <v>415</v>
      </c>
      <c r="B270" s="96" t="s">
        <v>348</v>
      </c>
      <c r="C270" s="96" t="s">
        <v>155</v>
      </c>
      <c r="D270" s="97" t="s">
        <v>444</v>
      </c>
      <c r="E270" s="96" t="s">
        <v>19</v>
      </c>
      <c r="F270" s="96" t="s">
        <v>373</v>
      </c>
      <c r="G270" s="47" t="s">
        <v>21</v>
      </c>
      <c r="H270" s="52" t="str">
        <f>VLOOKUP(G270,ColorTable[],2,FALSE)</f>
        <v>113</v>
      </c>
      <c r="I270" s="52" t="str">
        <f>VLOOKUP(G270,ColorTable[],3,FALSE)</f>
        <v>171</v>
      </c>
      <c r="J270" s="52" t="str">
        <f>VLOOKUP(G270,ColorTable[],4,FALSE)</f>
        <v>26</v>
      </c>
      <c r="K270" s="98"/>
      <c r="L270" s="47"/>
    </row>
    <row r="271" spans="1:12" x14ac:dyDescent="0.2">
      <c r="A271" s="46" t="s">
        <v>415</v>
      </c>
      <c r="B271" s="96" t="s">
        <v>348</v>
      </c>
      <c r="C271" s="96" t="s">
        <v>156</v>
      </c>
      <c r="D271" s="97" t="s">
        <v>445</v>
      </c>
      <c r="E271" s="96" t="s">
        <v>19</v>
      </c>
      <c r="F271" s="96" t="s">
        <v>373</v>
      </c>
      <c r="G271" s="47" t="s">
        <v>21</v>
      </c>
      <c r="H271" s="52" t="str">
        <f>VLOOKUP(G271,ColorTable[],2,FALSE)</f>
        <v>113</v>
      </c>
      <c r="I271" s="52" t="str">
        <f>VLOOKUP(G271,ColorTable[],3,FALSE)</f>
        <v>171</v>
      </c>
      <c r="J271" s="52" t="str">
        <f>VLOOKUP(G271,ColorTable[],4,FALSE)</f>
        <v>26</v>
      </c>
      <c r="K271" s="98"/>
      <c r="L271" s="47"/>
    </row>
    <row r="272" spans="1:12" x14ac:dyDescent="0.2">
      <c r="A272" s="46" t="s">
        <v>415</v>
      </c>
      <c r="B272" s="96" t="s">
        <v>349</v>
      </c>
      <c r="C272" s="96" t="s">
        <v>153</v>
      </c>
      <c r="D272" s="97" t="s">
        <v>446</v>
      </c>
      <c r="E272" s="96" t="s">
        <v>18</v>
      </c>
      <c r="F272" s="96" t="s">
        <v>374</v>
      </c>
      <c r="G272" s="47" t="s">
        <v>32</v>
      </c>
      <c r="H272" s="52" t="str">
        <f>VLOOKUP(G272,ColorTable[],2,FALSE)</f>
        <v>192</v>
      </c>
      <c r="I272" s="52" t="str">
        <f>VLOOKUP(G272,ColorTable[],3,FALSE)</f>
        <v>192</v>
      </c>
      <c r="J272" s="52" t="str">
        <f>VLOOKUP(G272,ColorTable[],4,FALSE)</f>
        <v>192</v>
      </c>
      <c r="K272" s="98"/>
      <c r="L272" s="47"/>
    </row>
    <row r="273" spans="1:12" x14ac:dyDescent="0.2">
      <c r="A273" s="46" t="s">
        <v>415</v>
      </c>
      <c r="B273" s="96" t="s">
        <v>349</v>
      </c>
      <c r="C273" s="96" t="s">
        <v>332</v>
      </c>
      <c r="D273" s="97" t="s">
        <v>447</v>
      </c>
      <c r="E273" s="96" t="s">
        <v>19</v>
      </c>
      <c r="F273" s="96" t="s">
        <v>374</v>
      </c>
      <c r="G273" s="47" t="s">
        <v>158</v>
      </c>
      <c r="H273" s="52" t="str">
        <f>VLOOKUP(G273,ColorTable[],2,FALSE)</f>
        <v>0</v>
      </c>
      <c r="I273" s="52" t="str">
        <f>VLOOKUP(G273,ColorTable[],3,FALSE)</f>
        <v>116</v>
      </c>
      <c r="J273" s="52" t="str">
        <f>VLOOKUP(G273,ColorTable[],4,FALSE)</f>
        <v>161</v>
      </c>
      <c r="K273" s="98"/>
      <c r="L273" s="47"/>
    </row>
    <row r="274" spans="1:12" x14ac:dyDescent="0.2">
      <c r="A274" s="46" t="s">
        <v>415</v>
      </c>
      <c r="B274" s="96" t="s">
        <v>349</v>
      </c>
      <c r="C274" s="96" t="s">
        <v>154</v>
      </c>
      <c r="D274" s="97" t="s">
        <v>448</v>
      </c>
      <c r="E274" s="96" t="s">
        <v>19</v>
      </c>
      <c r="F274" s="96" t="s">
        <v>374</v>
      </c>
      <c r="G274" s="47" t="s">
        <v>36</v>
      </c>
      <c r="H274" s="52" t="str">
        <f>VLOOKUP(G274,ColorTable[],2,FALSE)</f>
        <v>184</v>
      </c>
      <c r="I274" s="52" t="str">
        <f>VLOOKUP(G274,ColorTable[],3,FALSE)</f>
        <v>210</v>
      </c>
      <c r="J274" s="52" t="str">
        <f>VLOOKUP(G274,ColorTable[],4,FALSE)</f>
        <v>100</v>
      </c>
      <c r="K274" s="98"/>
      <c r="L274" s="47"/>
    </row>
    <row r="275" spans="1:12" x14ac:dyDescent="0.2">
      <c r="A275" s="46" t="s">
        <v>415</v>
      </c>
      <c r="B275" s="96" t="s">
        <v>349</v>
      </c>
      <c r="C275" s="96" t="s">
        <v>155</v>
      </c>
      <c r="D275" s="97" t="s">
        <v>449</v>
      </c>
      <c r="E275" s="96" t="s">
        <v>19</v>
      </c>
      <c r="F275" s="96" t="s">
        <v>374</v>
      </c>
      <c r="G275" s="47" t="s">
        <v>21</v>
      </c>
      <c r="H275" s="52" t="str">
        <f>VLOOKUP(G275,ColorTable[],2,FALSE)</f>
        <v>113</v>
      </c>
      <c r="I275" s="52" t="str">
        <f>VLOOKUP(G275,ColorTable[],3,FALSE)</f>
        <v>171</v>
      </c>
      <c r="J275" s="52" t="str">
        <f>VLOOKUP(G275,ColorTable[],4,FALSE)</f>
        <v>26</v>
      </c>
      <c r="K275" s="98"/>
      <c r="L275" s="47"/>
    </row>
    <row r="276" spans="1:12" x14ac:dyDescent="0.2">
      <c r="A276" s="46" t="s">
        <v>415</v>
      </c>
      <c r="B276" s="96" t="s">
        <v>349</v>
      </c>
      <c r="C276" s="96" t="s">
        <v>156</v>
      </c>
      <c r="D276" s="97" t="s">
        <v>450</v>
      </c>
      <c r="E276" s="96" t="s">
        <v>19</v>
      </c>
      <c r="F276" s="96" t="s">
        <v>374</v>
      </c>
      <c r="G276" s="47" t="s">
        <v>21</v>
      </c>
      <c r="H276" s="52" t="str">
        <f>VLOOKUP(G276,ColorTable[],2,FALSE)</f>
        <v>113</v>
      </c>
      <c r="I276" s="52" t="str">
        <f>VLOOKUP(G276,ColorTable[],3,FALSE)</f>
        <v>171</v>
      </c>
      <c r="J276" s="52" t="str">
        <f>VLOOKUP(G276,ColorTable[],4,FALSE)</f>
        <v>26</v>
      </c>
      <c r="K276" s="98"/>
      <c r="L276" s="47"/>
    </row>
    <row r="277" spans="1:12" x14ac:dyDescent="0.2">
      <c r="A277" s="46" t="s">
        <v>415</v>
      </c>
      <c r="B277" s="96" t="s">
        <v>350</v>
      </c>
      <c r="C277" s="96" t="s">
        <v>153</v>
      </c>
      <c r="D277" s="97" t="s">
        <v>451</v>
      </c>
      <c r="E277" s="96" t="s">
        <v>18</v>
      </c>
      <c r="F277" s="96" t="s">
        <v>375</v>
      </c>
      <c r="G277" s="47" t="s">
        <v>32</v>
      </c>
      <c r="H277" s="52" t="str">
        <f>VLOOKUP(G277,ColorTable[],2,FALSE)</f>
        <v>192</v>
      </c>
      <c r="I277" s="52" t="str">
        <f>VLOOKUP(G277,ColorTable[],3,FALSE)</f>
        <v>192</v>
      </c>
      <c r="J277" s="52" t="str">
        <f>VLOOKUP(G277,ColorTable[],4,FALSE)</f>
        <v>192</v>
      </c>
      <c r="K277" s="98"/>
      <c r="L277" s="47"/>
    </row>
    <row r="278" spans="1:12" x14ac:dyDescent="0.2">
      <c r="A278" s="46" t="s">
        <v>415</v>
      </c>
      <c r="B278" s="96" t="s">
        <v>350</v>
      </c>
      <c r="C278" s="96" t="s">
        <v>332</v>
      </c>
      <c r="D278" s="97" t="s">
        <v>452</v>
      </c>
      <c r="E278" s="96" t="s">
        <v>19</v>
      </c>
      <c r="F278" s="96" t="s">
        <v>375</v>
      </c>
      <c r="G278" s="47" t="s">
        <v>158</v>
      </c>
      <c r="H278" s="52" t="str">
        <f>VLOOKUP(G278,ColorTable[],2,FALSE)</f>
        <v>0</v>
      </c>
      <c r="I278" s="52" t="str">
        <f>VLOOKUP(G278,ColorTable[],3,FALSE)</f>
        <v>116</v>
      </c>
      <c r="J278" s="52" t="str">
        <f>VLOOKUP(G278,ColorTable[],4,FALSE)</f>
        <v>161</v>
      </c>
      <c r="K278" s="98"/>
      <c r="L278" s="47"/>
    </row>
    <row r="279" spans="1:12" x14ac:dyDescent="0.2">
      <c r="A279" s="46" t="s">
        <v>415</v>
      </c>
      <c r="B279" s="96" t="s">
        <v>350</v>
      </c>
      <c r="C279" s="96" t="s">
        <v>154</v>
      </c>
      <c r="D279" s="97" t="s">
        <v>453</v>
      </c>
      <c r="E279" s="96" t="s">
        <v>19</v>
      </c>
      <c r="F279" s="96" t="s">
        <v>375</v>
      </c>
      <c r="G279" s="47" t="s">
        <v>36</v>
      </c>
      <c r="H279" s="52" t="str">
        <f>VLOOKUP(G279,ColorTable[],2,FALSE)</f>
        <v>184</v>
      </c>
      <c r="I279" s="52" t="str">
        <f>VLOOKUP(G279,ColorTable[],3,FALSE)</f>
        <v>210</v>
      </c>
      <c r="J279" s="52" t="str">
        <f>VLOOKUP(G279,ColorTable[],4,FALSE)</f>
        <v>100</v>
      </c>
      <c r="K279" s="98"/>
      <c r="L279" s="47"/>
    </row>
    <row r="280" spans="1:12" x14ac:dyDescent="0.2">
      <c r="A280" s="46" t="s">
        <v>415</v>
      </c>
      <c r="B280" s="96" t="s">
        <v>350</v>
      </c>
      <c r="C280" s="96" t="s">
        <v>155</v>
      </c>
      <c r="D280" s="97" t="s">
        <v>454</v>
      </c>
      <c r="E280" s="96" t="s">
        <v>19</v>
      </c>
      <c r="F280" s="96" t="s">
        <v>375</v>
      </c>
      <c r="G280" s="47" t="s">
        <v>21</v>
      </c>
      <c r="H280" s="52" t="str">
        <f>VLOOKUP(G280,ColorTable[],2,FALSE)</f>
        <v>113</v>
      </c>
      <c r="I280" s="52" t="str">
        <f>VLOOKUP(G280,ColorTable[],3,FALSE)</f>
        <v>171</v>
      </c>
      <c r="J280" s="52" t="str">
        <f>VLOOKUP(G280,ColorTable[],4,FALSE)</f>
        <v>26</v>
      </c>
      <c r="K280" s="98"/>
      <c r="L280" s="47"/>
    </row>
    <row r="281" spans="1:12" x14ac:dyDescent="0.2">
      <c r="A281" s="46" t="s">
        <v>415</v>
      </c>
      <c r="B281" s="96" t="s">
        <v>350</v>
      </c>
      <c r="C281" s="96" t="s">
        <v>156</v>
      </c>
      <c r="D281" s="97" t="s">
        <v>455</v>
      </c>
      <c r="E281" s="96" t="s">
        <v>19</v>
      </c>
      <c r="F281" s="96" t="s">
        <v>375</v>
      </c>
      <c r="G281" s="47" t="s">
        <v>21</v>
      </c>
      <c r="H281" s="52" t="str">
        <f>VLOOKUP(G281,ColorTable[],2,FALSE)</f>
        <v>113</v>
      </c>
      <c r="I281" s="52" t="str">
        <f>VLOOKUP(G281,ColorTable[],3,FALSE)</f>
        <v>171</v>
      </c>
      <c r="J281" s="52" t="str">
        <f>VLOOKUP(G281,ColorTable[],4,FALSE)</f>
        <v>26</v>
      </c>
      <c r="K281" s="98"/>
      <c r="L281" s="47"/>
    </row>
    <row r="282" spans="1:12" x14ac:dyDescent="0.2">
      <c r="A282" s="46" t="s">
        <v>415</v>
      </c>
      <c r="B282" s="96" t="s">
        <v>351</v>
      </c>
      <c r="C282" s="96" t="s">
        <v>153</v>
      </c>
      <c r="D282" s="97" t="s">
        <v>456</v>
      </c>
      <c r="E282" s="96" t="s">
        <v>18</v>
      </c>
      <c r="F282" s="96" t="s">
        <v>376</v>
      </c>
      <c r="G282" s="47" t="s">
        <v>32</v>
      </c>
      <c r="H282" s="52" t="str">
        <f>VLOOKUP(G282,ColorTable[],2,FALSE)</f>
        <v>192</v>
      </c>
      <c r="I282" s="52" t="str">
        <f>VLOOKUP(G282,ColorTable[],3,FALSE)</f>
        <v>192</v>
      </c>
      <c r="J282" s="52" t="str">
        <f>VLOOKUP(G282,ColorTable[],4,FALSE)</f>
        <v>192</v>
      </c>
      <c r="K282" s="98"/>
      <c r="L282" s="47"/>
    </row>
    <row r="283" spans="1:12" x14ac:dyDescent="0.2">
      <c r="A283" s="46" t="s">
        <v>415</v>
      </c>
      <c r="B283" s="96" t="s">
        <v>351</v>
      </c>
      <c r="C283" s="96" t="s">
        <v>332</v>
      </c>
      <c r="D283" s="97" t="s">
        <v>457</v>
      </c>
      <c r="E283" s="96" t="s">
        <v>19</v>
      </c>
      <c r="F283" s="96" t="s">
        <v>376</v>
      </c>
      <c r="G283" s="47" t="s">
        <v>158</v>
      </c>
      <c r="H283" s="52" t="str">
        <f>VLOOKUP(G283,ColorTable[],2,FALSE)</f>
        <v>0</v>
      </c>
      <c r="I283" s="52" t="str">
        <f>VLOOKUP(G283,ColorTable[],3,FALSE)</f>
        <v>116</v>
      </c>
      <c r="J283" s="52" t="str">
        <f>VLOOKUP(G283,ColorTable[],4,FALSE)</f>
        <v>161</v>
      </c>
      <c r="K283" s="98"/>
      <c r="L283" s="47"/>
    </row>
    <row r="284" spans="1:12" x14ac:dyDescent="0.2">
      <c r="A284" s="46" t="s">
        <v>415</v>
      </c>
      <c r="B284" s="96" t="s">
        <v>351</v>
      </c>
      <c r="C284" s="96" t="s">
        <v>154</v>
      </c>
      <c r="D284" s="97" t="s">
        <v>458</v>
      </c>
      <c r="E284" s="96" t="s">
        <v>19</v>
      </c>
      <c r="F284" s="96" t="s">
        <v>376</v>
      </c>
      <c r="G284" s="47" t="s">
        <v>36</v>
      </c>
      <c r="H284" s="52" t="str">
        <f>VLOOKUP(G284,ColorTable[],2,FALSE)</f>
        <v>184</v>
      </c>
      <c r="I284" s="52" t="str">
        <f>VLOOKUP(G284,ColorTable[],3,FALSE)</f>
        <v>210</v>
      </c>
      <c r="J284" s="52" t="str">
        <f>VLOOKUP(G284,ColorTable[],4,FALSE)</f>
        <v>100</v>
      </c>
      <c r="K284" s="98"/>
      <c r="L284" s="47"/>
    </row>
    <row r="285" spans="1:12" x14ac:dyDescent="0.2">
      <c r="A285" s="46" t="s">
        <v>415</v>
      </c>
      <c r="B285" s="96" t="s">
        <v>351</v>
      </c>
      <c r="C285" s="96" t="s">
        <v>155</v>
      </c>
      <c r="D285" s="97" t="s">
        <v>459</v>
      </c>
      <c r="E285" s="96" t="s">
        <v>19</v>
      </c>
      <c r="F285" s="96" t="s">
        <v>376</v>
      </c>
      <c r="G285" s="47" t="s">
        <v>21</v>
      </c>
      <c r="H285" s="52" t="str">
        <f>VLOOKUP(G285,ColorTable[],2,FALSE)</f>
        <v>113</v>
      </c>
      <c r="I285" s="52" t="str">
        <f>VLOOKUP(G285,ColorTable[],3,FALSE)</f>
        <v>171</v>
      </c>
      <c r="J285" s="52" t="str">
        <f>VLOOKUP(G285,ColorTable[],4,FALSE)</f>
        <v>26</v>
      </c>
      <c r="K285" s="98"/>
      <c r="L285" s="47"/>
    </row>
    <row r="286" spans="1:12" x14ac:dyDescent="0.2">
      <c r="A286" s="46" t="s">
        <v>415</v>
      </c>
      <c r="B286" s="96" t="s">
        <v>351</v>
      </c>
      <c r="C286" s="96" t="s">
        <v>156</v>
      </c>
      <c r="D286" s="97" t="s">
        <v>460</v>
      </c>
      <c r="E286" s="96" t="s">
        <v>19</v>
      </c>
      <c r="F286" s="96" t="s">
        <v>376</v>
      </c>
      <c r="G286" s="47" t="s">
        <v>21</v>
      </c>
      <c r="H286" s="52" t="str">
        <f>VLOOKUP(G286,ColorTable[],2,FALSE)</f>
        <v>113</v>
      </c>
      <c r="I286" s="52" t="str">
        <f>VLOOKUP(G286,ColorTable[],3,FALSE)</f>
        <v>171</v>
      </c>
      <c r="J286" s="52" t="str">
        <f>VLOOKUP(G286,ColorTable[],4,FALSE)</f>
        <v>26</v>
      </c>
      <c r="K286" s="98"/>
      <c r="L286" s="47"/>
    </row>
    <row r="287" spans="1:12" x14ac:dyDescent="0.2">
      <c r="A287" s="46" t="s">
        <v>415</v>
      </c>
      <c r="B287" s="96" t="s">
        <v>352</v>
      </c>
      <c r="C287" s="96" t="s">
        <v>153</v>
      </c>
      <c r="D287" s="97" t="s">
        <v>461</v>
      </c>
      <c r="E287" s="96" t="s">
        <v>18</v>
      </c>
      <c r="F287" s="96" t="s">
        <v>377</v>
      </c>
      <c r="G287" s="47" t="s">
        <v>32</v>
      </c>
      <c r="H287" s="52" t="str">
        <f>VLOOKUP(G287,ColorTable[],2,FALSE)</f>
        <v>192</v>
      </c>
      <c r="I287" s="52" t="str">
        <f>VLOOKUP(G287,ColorTable[],3,FALSE)</f>
        <v>192</v>
      </c>
      <c r="J287" s="52" t="str">
        <f>VLOOKUP(G287,ColorTable[],4,FALSE)</f>
        <v>192</v>
      </c>
      <c r="K287" s="99">
        <v>43019.482071759259</v>
      </c>
      <c r="L287" s="47" t="s">
        <v>414</v>
      </c>
    </row>
    <row r="288" spans="1:12" x14ac:dyDescent="0.2">
      <c r="A288" s="46" t="s">
        <v>415</v>
      </c>
      <c r="B288" s="96" t="s">
        <v>352</v>
      </c>
      <c r="C288" s="96" t="s">
        <v>332</v>
      </c>
      <c r="D288" s="97" t="s">
        <v>462</v>
      </c>
      <c r="E288" s="96" t="s">
        <v>19</v>
      </c>
      <c r="F288" s="96" t="s">
        <v>377</v>
      </c>
      <c r="G288" s="47" t="s">
        <v>158</v>
      </c>
      <c r="H288" s="52" t="str">
        <f>VLOOKUP(G288,ColorTable[],2,FALSE)</f>
        <v>0</v>
      </c>
      <c r="I288" s="52" t="str">
        <f>VLOOKUP(G288,ColorTable[],3,FALSE)</f>
        <v>116</v>
      </c>
      <c r="J288" s="52" t="str">
        <f>VLOOKUP(G288,ColorTable[],4,FALSE)</f>
        <v>161</v>
      </c>
      <c r="K288" s="99">
        <v>43019.333680555559</v>
      </c>
      <c r="L288" s="47" t="s">
        <v>414</v>
      </c>
    </row>
    <row r="289" spans="1:12" x14ac:dyDescent="0.2">
      <c r="A289" s="46" t="s">
        <v>415</v>
      </c>
      <c r="B289" s="96" t="s">
        <v>352</v>
      </c>
      <c r="C289" s="96" t="s">
        <v>154</v>
      </c>
      <c r="D289" s="97" t="s">
        <v>463</v>
      </c>
      <c r="E289" s="96" t="s">
        <v>19</v>
      </c>
      <c r="F289" s="96" t="s">
        <v>377</v>
      </c>
      <c r="G289" s="47" t="s">
        <v>36</v>
      </c>
      <c r="H289" s="52" t="str">
        <f>VLOOKUP(G289,ColorTable[],2,FALSE)</f>
        <v>184</v>
      </c>
      <c r="I289" s="52" t="str">
        <f>VLOOKUP(G289,ColorTable[],3,FALSE)</f>
        <v>210</v>
      </c>
      <c r="J289" s="52" t="str">
        <f>VLOOKUP(G289,ColorTable[],4,FALSE)</f>
        <v>100</v>
      </c>
      <c r="K289" s="98"/>
      <c r="L289" s="47"/>
    </row>
    <row r="290" spans="1:12" x14ac:dyDescent="0.2">
      <c r="A290" s="46" t="s">
        <v>415</v>
      </c>
      <c r="B290" s="96" t="s">
        <v>352</v>
      </c>
      <c r="C290" s="96" t="s">
        <v>155</v>
      </c>
      <c r="D290" s="97" t="s">
        <v>464</v>
      </c>
      <c r="E290" s="96" t="s">
        <v>19</v>
      </c>
      <c r="F290" s="96" t="s">
        <v>377</v>
      </c>
      <c r="G290" s="47" t="s">
        <v>21</v>
      </c>
      <c r="H290" s="52" t="str">
        <f>VLOOKUP(G290,ColorTable[],2,FALSE)</f>
        <v>113</v>
      </c>
      <c r="I290" s="52" t="str">
        <f>VLOOKUP(G290,ColorTable[],3,FALSE)</f>
        <v>171</v>
      </c>
      <c r="J290" s="52" t="str">
        <f>VLOOKUP(G290,ColorTable[],4,FALSE)</f>
        <v>26</v>
      </c>
      <c r="K290" s="98"/>
      <c r="L290" s="47"/>
    </row>
    <row r="291" spans="1:12" x14ac:dyDescent="0.2">
      <c r="A291" s="46" t="s">
        <v>415</v>
      </c>
      <c r="B291" s="96" t="s">
        <v>352</v>
      </c>
      <c r="C291" s="96" t="s">
        <v>156</v>
      </c>
      <c r="D291" s="97" t="s">
        <v>465</v>
      </c>
      <c r="E291" s="96" t="s">
        <v>19</v>
      </c>
      <c r="F291" s="96" t="s">
        <v>377</v>
      </c>
      <c r="G291" s="47" t="s">
        <v>21</v>
      </c>
      <c r="H291" s="52" t="str">
        <f>VLOOKUP(G291,ColorTable[],2,FALSE)</f>
        <v>113</v>
      </c>
      <c r="I291" s="52" t="str">
        <f>VLOOKUP(G291,ColorTable[],3,FALSE)</f>
        <v>171</v>
      </c>
      <c r="J291" s="52" t="str">
        <f>VLOOKUP(G291,ColorTable[],4,FALSE)</f>
        <v>26</v>
      </c>
      <c r="K291" s="98"/>
      <c r="L291" s="47"/>
    </row>
    <row r="292" spans="1:12" x14ac:dyDescent="0.2">
      <c r="A292" s="46" t="s">
        <v>415</v>
      </c>
      <c r="B292" s="96" t="s">
        <v>353</v>
      </c>
      <c r="C292" s="96" t="s">
        <v>153</v>
      </c>
      <c r="D292" s="97" t="s">
        <v>466</v>
      </c>
      <c r="E292" s="96" t="s">
        <v>18</v>
      </c>
      <c r="F292" s="96" t="s">
        <v>378</v>
      </c>
      <c r="G292" s="47" t="s">
        <v>32</v>
      </c>
      <c r="H292" s="52" t="str">
        <f>VLOOKUP(G292,ColorTable[],2,FALSE)</f>
        <v>192</v>
      </c>
      <c r="I292" s="52" t="str">
        <f>VLOOKUP(G292,ColorTable[],3,FALSE)</f>
        <v>192</v>
      </c>
      <c r="J292" s="52" t="str">
        <f>VLOOKUP(G292,ColorTable[],4,FALSE)</f>
        <v>192</v>
      </c>
      <c r="K292" s="98"/>
      <c r="L292" s="47"/>
    </row>
    <row r="293" spans="1:12" x14ac:dyDescent="0.2">
      <c r="A293" s="46" t="s">
        <v>415</v>
      </c>
      <c r="B293" s="96" t="s">
        <v>353</v>
      </c>
      <c r="C293" s="96" t="s">
        <v>332</v>
      </c>
      <c r="D293" s="97" t="s">
        <v>467</v>
      </c>
      <c r="E293" s="96" t="s">
        <v>19</v>
      </c>
      <c r="F293" s="96" t="s">
        <v>378</v>
      </c>
      <c r="G293" s="47" t="s">
        <v>158</v>
      </c>
      <c r="H293" s="52" t="str">
        <f>VLOOKUP(G293,ColorTable[],2,FALSE)</f>
        <v>0</v>
      </c>
      <c r="I293" s="52" t="str">
        <f>VLOOKUP(G293,ColorTable[],3,FALSE)</f>
        <v>116</v>
      </c>
      <c r="J293" s="52" t="str">
        <f>VLOOKUP(G293,ColorTable[],4,FALSE)</f>
        <v>161</v>
      </c>
      <c r="K293" s="98"/>
      <c r="L293" s="47"/>
    </row>
    <row r="294" spans="1:12" x14ac:dyDescent="0.2">
      <c r="A294" s="46" t="s">
        <v>415</v>
      </c>
      <c r="B294" s="96" t="s">
        <v>353</v>
      </c>
      <c r="C294" s="96" t="s">
        <v>154</v>
      </c>
      <c r="D294" s="97" t="s">
        <v>468</v>
      </c>
      <c r="E294" s="96" t="s">
        <v>19</v>
      </c>
      <c r="F294" s="96" t="s">
        <v>378</v>
      </c>
      <c r="G294" s="47" t="s">
        <v>36</v>
      </c>
      <c r="H294" s="52" t="str">
        <f>VLOOKUP(G294,ColorTable[],2,FALSE)</f>
        <v>184</v>
      </c>
      <c r="I294" s="52" t="str">
        <f>VLOOKUP(G294,ColorTable[],3,FALSE)</f>
        <v>210</v>
      </c>
      <c r="J294" s="52" t="str">
        <f>VLOOKUP(G294,ColorTable[],4,FALSE)</f>
        <v>100</v>
      </c>
      <c r="K294" s="98"/>
      <c r="L294" s="47"/>
    </row>
    <row r="295" spans="1:12" x14ac:dyDescent="0.2">
      <c r="A295" s="46" t="s">
        <v>415</v>
      </c>
      <c r="B295" s="96" t="s">
        <v>353</v>
      </c>
      <c r="C295" s="96" t="s">
        <v>155</v>
      </c>
      <c r="D295" s="97" t="s">
        <v>469</v>
      </c>
      <c r="E295" s="96" t="s">
        <v>19</v>
      </c>
      <c r="F295" s="96" t="s">
        <v>378</v>
      </c>
      <c r="G295" s="47" t="s">
        <v>21</v>
      </c>
      <c r="H295" s="52" t="str">
        <f>VLOOKUP(G295,ColorTable[],2,FALSE)</f>
        <v>113</v>
      </c>
      <c r="I295" s="52" t="str">
        <f>VLOOKUP(G295,ColorTable[],3,FALSE)</f>
        <v>171</v>
      </c>
      <c r="J295" s="52" t="str">
        <f>VLOOKUP(G295,ColorTable[],4,FALSE)</f>
        <v>26</v>
      </c>
      <c r="K295" s="98"/>
      <c r="L295" s="47"/>
    </row>
    <row r="296" spans="1:12" x14ac:dyDescent="0.2">
      <c r="A296" s="46" t="s">
        <v>415</v>
      </c>
      <c r="B296" s="96" t="s">
        <v>353</v>
      </c>
      <c r="C296" s="96" t="s">
        <v>156</v>
      </c>
      <c r="D296" s="97" t="s">
        <v>470</v>
      </c>
      <c r="E296" s="96" t="s">
        <v>19</v>
      </c>
      <c r="F296" s="96" t="s">
        <v>378</v>
      </c>
      <c r="G296" s="47" t="s">
        <v>21</v>
      </c>
      <c r="H296" s="52" t="str">
        <f>VLOOKUP(G296,ColorTable[],2,FALSE)</f>
        <v>113</v>
      </c>
      <c r="I296" s="52" t="str">
        <f>VLOOKUP(G296,ColorTable[],3,FALSE)</f>
        <v>171</v>
      </c>
      <c r="J296" s="52" t="str">
        <f>VLOOKUP(G296,ColorTable[],4,FALSE)</f>
        <v>26</v>
      </c>
      <c r="K296" s="98"/>
      <c r="L296" s="47"/>
    </row>
    <row r="297" spans="1:12" x14ac:dyDescent="0.2">
      <c r="A297" s="46" t="s">
        <v>415</v>
      </c>
      <c r="B297" s="96" t="s">
        <v>354</v>
      </c>
      <c r="C297" s="96" t="s">
        <v>153</v>
      </c>
      <c r="D297" s="97" t="s">
        <v>471</v>
      </c>
      <c r="E297" s="96" t="s">
        <v>18</v>
      </c>
      <c r="F297" s="96" t="s">
        <v>379</v>
      </c>
      <c r="G297" s="47" t="s">
        <v>32</v>
      </c>
      <c r="H297" s="52" t="str">
        <f>VLOOKUP(G297,ColorTable[],2,FALSE)</f>
        <v>192</v>
      </c>
      <c r="I297" s="52" t="str">
        <f>VLOOKUP(G297,ColorTable[],3,FALSE)</f>
        <v>192</v>
      </c>
      <c r="J297" s="52" t="str">
        <f>VLOOKUP(G297,ColorTable[],4,FALSE)</f>
        <v>192</v>
      </c>
      <c r="K297" s="98"/>
      <c r="L297" s="47"/>
    </row>
    <row r="298" spans="1:12" x14ac:dyDescent="0.2">
      <c r="A298" s="46" t="s">
        <v>415</v>
      </c>
      <c r="B298" s="96" t="s">
        <v>354</v>
      </c>
      <c r="C298" s="96" t="s">
        <v>332</v>
      </c>
      <c r="D298" s="97" t="s">
        <v>472</v>
      </c>
      <c r="E298" s="96" t="s">
        <v>19</v>
      </c>
      <c r="F298" s="96" t="s">
        <v>379</v>
      </c>
      <c r="G298" s="47" t="s">
        <v>158</v>
      </c>
      <c r="H298" s="52" t="str">
        <f>VLOOKUP(G298,ColorTable[],2,FALSE)</f>
        <v>0</v>
      </c>
      <c r="I298" s="52" t="str">
        <f>VLOOKUP(G298,ColorTable[],3,FALSE)</f>
        <v>116</v>
      </c>
      <c r="J298" s="52" t="str">
        <f>VLOOKUP(G298,ColorTable[],4,FALSE)</f>
        <v>161</v>
      </c>
      <c r="K298" s="98"/>
      <c r="L298" s="47"/>
    </row>
    <row r="299" spans="1:12" x14ac:dyDescent="0.2">
      <c r="A299" s="46" t="s">
        <v>415</v>
      </c>
      <c r="B299" s="96" t="s">
        <v>354</v>
      </c>
      <c r="C299" s="96" t="s">
        <v>154</v>
      </c>
      <c r="D299" s="97" t="s">
        <v>473</v>
      </c>
      <c r="E299" s="96" t="s">
        <v>19</v>
      </c>
      <c r="F299" s="96" t="s">
        <v>379</v>
      </c>
      <c r="G299" s="47" t="s">
        <v>36</v>
      </c>
      <c r="H299" s="52" t="str">
        <f>VLOOKUP(G299,ColorTable[],2,FALSE)</f>
        <v>184</v>
      </c>
      <c r="I299" s="52" t="str">
        <f>VLOOKUP(G299,ColorTable[],3,FALSE)</f>
        <v>210</v>
      </c>
      <c r="J299" s="52" t="str">
        <f>VLOOKUP(G299,ColorTable[],4,FALSE)</f>
        <v>100</v>
      </c>
      <c r="K299" s="98"/>
      <c r="L299" s="47"/>
    </row>
    <row r="300" spans="1:12" x14ac:dyDescent="0.2">
      <c r="A300" s="46" t="s">
        <v>415</v>
      </c>
      <c r="B300" s="96" t="s">
        <v>354</v>
      </c>
      <c r="C300" s="96" t="s">
        <v>155</v>
      </c>
      <c r="D300" s="97" t="s">
        <v>474</v>
      </c>
      <c r="E300" s="96" t="s">
        <v>19</v>
      </c>
      <c r="F300" s="96" t="s">
        <v>379</v>
      </c>
      <c r="G300" s="47" t="s">
        <v>21</v>
      </c>
      <c r="H300" s="52" t="str">
        <f>VLOOKUP(G300,ColorTable[],2,FALSE)</f>
        <v>113</v>
      </c>
      <c r="I300" s="52" t="str">
        <f>VLOOKUP(G300,ColorTable[],3,FALSE)</f>
        <v>171</v>
      </c>
      <c r="J300" s="52" t="str">
        <f>VLOOKUP(G300,ColorTable[],4,FALSE)</f>
        <v>26</v>
      </c>
      <c r="K300" s="98"/>
      <c r="L300" s="47"/>
    </row>
    <row r="301" spans="1:12" x14ac:dyDescent="0.2">
      <c r="A301" s="46" t="s">
        <v>415</v>
      </c>
      <c r="B301" s="96" t="s">
        <v>354</v>
      </c>
      <c r="C301" s="96" t="s">
        <v>156</v>
      </c>
      <c r="D301" s="97" t="s">
        <v>475</v>
      </c>
      <c r="E301" s="96" t="s">
        <v>19</v>
      </c>
      <c r="F301" s="96" t="s">
        <v>379</v>
      </c>
      <c r="G301" s="47" t="s">
        <v>21</v>
      </c>
      <c r="H301" s="52" t="str">
        <f>VLOOKUP(G301,ColorTable[],2,FALSE)</f>
        <v>113</v>
      </c>
      <c r="I301" s="52" t="str">
        <f>VLOOKUP(G301,ColorTable[],3,FALSE)</f>
        <v>171</v>
      </c>
      <c r="J301" s="52" t="str">
        <f>VLOOKUP(G301,ColorTable[],4,FALSE)</f>
        <v>26</v>
      </c>
      <c r="K301" s="98"/>
      <c r="L301" s="47"/>
    </row>
    <row r="302" spans="1:12" x14ac:dyDescent="0.2">
      <c r="A302" s="46" t="s">
        <v>415</v>
      </c>
      <c r="B302" s="96" t="s">
        <v>355</v>
      </c>
      <c r="C302" s="96" t="s">
        <v>153</v>
      </c>
      <c r="D302" s="97" t="s">
        <v>476</v>
      </c>
      <c r="E302" s="96" t="s">
        <v>18</v>
      </c>
      <c r="F302" s="96" t="s">
        <v>380</v>
      </c>
      <c r="G302" s="47" t="s">
        <v>32</v>
      </c>
      <c r="H302" s="52" t="str">
        <f>VLOOKUP(G302,ColorTable[],2,FALSE)</f>
        <v>192</v>
      </c>
      <c r="I302" s="52" t="str">
        <f>VLOOKUP(G302,ColorTable[],3,FALSE)</f>
        <v>192</v>
      </c>
      <c r="J302" s="52" t="str">
        <f>VLOOKUP(G302,ColorTable[],4,FALSE)</f>
        <v>192</v>
      </c>
      <c r="K302" s="98"/>
      <c r="L302" s="47"/>
    </row>
    <row r="303" spans="1:12" x14ac:dyDescent="0.2">
      <c r="A303" s="46" t="s">
        <v>415</v>
      </c>
      <c r="B303" s="96" t="s">
        <v>355</v>
      </c>
      <c r="C303" s="96" t="s">
        <v>332</v>
      </c>
      <c r="D303" s="97" t="s">
        <v>477</v>
      </c>
      <c r="E303" s="96" t="s">
        <v>19</v>
      </c>
      <c r="F303" s="96" t="s">
        <v>380</v>
      </c>
      <c r="G303" s="47" t="s">
        <v>158</v>
      </c>
      <c r="H303" s="52" t="str">
        <f>VLOOKUP(G303,ColorTable[],2,FALSE)</f>
        <v>0</v>
      </c>
      <c r="I303" s="52" t="str">
        <f>VLOOKUP(G303,ColorTable[],3,FALSE)</f>
        <v>116</v>
      </c>
      <c r="J303" s="52" t="str">
        <f>VLOOKUP(G303,ColorTable[],4,FALSE)</f>
        <v>161</v>
      </c>
      <c r="K303" s="98"/>
      <c r="L303" s="47"/>
    </row>
    <row r="304" spans="1:12" x14ac:dyDescent="0.2">
      <c r="A304" s="46" t="s">
        <v>415</v>
      </c>
      <c r="B304" s="96" t="s">
        <v>355</v>
      </c>
      <c r="C304" s="96" t="s">
        <v>154</v>
      </c>
      <c r="D304" s="97" t="s">
        <v>478</v>
      </c>
      <c r="E304" s="96" t="s">
        <v>19</v>
      </c>
      <c r="F304" s="96" t="s">
        <v>380</v>
      </c>
      <c r="G304" s="47" t="s">
        <v>36</v>
      </c>
      <c r="H304" s="52" t="str">
        <f>VLOOKUP(G304,ColorTable[],2,FALSE)</f>
        <v>184</v>
      </c>
      <c r="I304" s="52" t="str">
        <f>VLOOKUP(G304,ColorTable[],3,FALSE)</f>
        <v>210</v>
      </c>
      <c r="J304" s="52" t="str">
        <f>VLOOKUP(G304,ColorTable[],4,FALSE)</f>
        <v>100</v>
      </c>
      <c r="K304" s="98"/>
      <c r="L304" s="47"/>
    </row>
    <row r="305" spans="1:12" x14ac:dyDescent="0.2">
      <c r="A305" s="46" t="s">
        <v>415</v>
      </c>
      <c r="B305" s="96" t="s">
        <v>355</v>
      </c>
      <c r="C305" s="96" t="s">
        <v>155</v>
      </c>
      <c r="D305" s="97" t="s">
        <v>479</v>
      </c>
      <c r="E305" s="96" t="s">
        <v>19</v>
      </c>
      <c r="F305" s="96" t="s">
        <v>380</v>
      </c>
      <c r="G305" s="47" t="s">
        <v>21</v>
      </c>
      <c r="H305" s="52" t="str">
        <f>VLOOKUP(G305,ColorTable[],2,FALSE)</f>
        <v>113</v>
      </c>
      <c r="I305" s="52" t="str">
        <f>VLOOKUP(G305,ColorTable[],3,FALSE)</f>
        <v>171</v>
      </c>
      <c r="J305" s="52" t="str">
        <f>VLOOKUP(G305,ColorTable[],4,FALSE)</f>
        <v>26</v>
      </c>
      <c r="K305" s="98"/>
      <c r="L305" s="47"/>
    </row>
    <row r="306" spans="1:12" x14ac:dyDescent="0.2">
      <c r="A306" s="46" t="s">
        <v>415</v>
      </c>
      <c r="B306" s="96" t="s">
        <v>355</v>
      </c>
      <c r="C306" s="96" t="s">
        <v>156</v>
      </c>
      <c r="D306" s="97" t="s">
        <v>480</v>
      </c>
      <c r="E306" s="96" t="s">
        <v>19</v>
      </c>
      <c r="F306" s="96" t="s">
        <v>380</v>
      </c>
      <c r="G306" s="47" t="s">
        <v>21</v>
      </c>
      <c r="H306" s="52" t="str">
        <f>VLOOKUP(G306,ColorTable[],2,FALSE)</f>
        <v>113</v>
      </c>
      <c r="I306" s="52" t="str">
        <f>VLOOKUP(G306,ColorTable[],3,FALSE)</f>
        <v>171</v>
      </c>
      <c r="J306" s="52" t="str">
        <f>VLOOKUP(G306,ColorTable[],4,FALSE)</f>
        <v>26</v>
      </c>
      <c r="K306" s="98"/>
      <c r="L306" s="47"/>
    </row>
    <row r="307" spans="1:12" x14ac:dyDescent="0.2">
      <c r="A307" s="46" t="s">
        <v>415</v>
      </c>
      <c r="B307" s="96" t="s">
        <v>361</v>
      </c>
      <c r="C307" s="96" t="s">
        <v>153</v>
      </c>
      <c r="D307" s="97" t="s">
        <v>481</v>
      </c>
      <c r="E307" s="96" t="s">
        <v>18</v>
      </c>
      <c r="F307" s="96" t="s">
        <v>384</v>
      </c>
      <c r="G307" s="47" t="s">
        <v>32</v>
      </c>
      <c r="H307" s="52" t="str">
        <f>VLOOKUP(G307,ColorTable[],2,FALSE)</f>
        <v>192</v>
      </c>
      <c r="I307" s="52" t="str">
        <f>VLOOKUP(G307,ColorTable[],3,FALSE)</f>
        <v>192</v>
      </c>
      <c r="J307" s="52" t="str">
        <f>VLOOKUP(G307,ColorTable[],4,FALSE)</f>
        <v>192</v>
      </c>
      <c r="K307" s="98"/>
      <c r="L307" s="47"/>
    </row>
    <row r="308" spans="1:12" x14ac:dyDescent="0.2">
      <c r="A308" s="46" t="s">
        <v>415</v>
      </c>
      <c r="B308" s="96" t="s">
        <v>361</v>
      </c>
      <c r="C308" s="96" t="s">
        <v>332</v>
      </c>
      <c r="D308" s="97" t="s">
        <v>482</v>
      </c>
      <c r="E308" s="96" t="s">
        <v>19</v>
      </c>
      <c r="F308" s="96" t="s">
        <v>384</v>
      </c>
      <c r="G308" s="47" t="s">
        <v>158</v>
      </c>
      <c r="H308" s="52" t="str">
        <f>VLOOKUP(G308,ColorTable[],2,FALSE)</f>
        <v>0</v>
      </c>
      <c r="I308" s="52" t="str">
        <f>VLOOKUP(G308,ColorTable[],3,FALSE)</f>
        <v>116</v>
      </c>
      <c r="J308" s="52" t="str">
        <f>VLOOKUP(G308,ColorTable[],4,FALSE)</f>
        <v>161</v>
      </c>
      <c r="K308" s="98"/>
      <c r="L308" s="47"/>
    </row>
    <row r="309" spans="1:12" x14ac:dyDescent="0.2">
      <c r="A309" s="46" t="s">
        <v>415</v>
      </c>
      <c r="B309" s="96" t="s">
        <v>361</v>
      </c>
      <c r="C309" s="96" t="s">
        <v>154</v>
      </c>
      <c r="D309" s="97" t="s">
        <v>483</v>
      </c>
      <c r="E309" s="96" t="s">
        <v>19</v>
      </c>
      <c r="F309" s="96" t="s">
        <v>384</v>
      </c>
      <c r="G309" s="47" t="s">
        <v>36</v>
      </c>
      <c r="H309" s="52" t="str">
        <f>VLOOKUP(G309,ColorTable[],2,FALSE)</f>
        <v>184</v>
      </c>
      <c r="I309" s="52" t="str">
        <f>VLOOKUP(G309,ColorTable[],3,FALSE)</f>
        <v>210</v>
      </c>
      <c r="J309" s="52" t="str">
        <f>VLOOKUP(G309,ColorTable[],4,FALSE)</f>
        <v>100</v>
      </c>
      <c r="K309" s="98"/>
      <c r="L309" s="47"/>
    </row>
    <row r="310" spans="1:12" x14ac:dyDescent="0.2">
      <c r="A310" s="46" t="s">
        <v>415</v>
      </c>
      <c r="B310" s="96" t="s">
        <v>361</v>
      </c>
      <c r="C310" s="96" t="s">
        <v>155</v>
      </c>
      <c r="D310" s="97" t="s">
        <v>484</v>
      </c>
      <c r="E310" s="96" t="s">
        <v>19</v>
      </c>
      <c r="F310" s="96" t="s">
        <v>384</v>
      </c>
      <c r="G310" s="47" t="s">
        <v>21</v>
      </c>
      <c r="H310" s="52" t="str">
        <f>VLOOKUP(G310,ColorTable[],2,FALSE)</f>
        <v>113</v>
      </c>
      <c r="I310" s="52" t="str">
        <f>VLOOKUP(G310,ColorTable[],3,FALSE)</f>
        <v>171</v>
      </c>
      <c r="J310" s="52" t="str">
        <f>VLOOKUP(G310,ColorTable[],4,FALSE)</f>
        <v>26</v>
      </c>
      <c r="K310" s="98"/>
      <c r="L310" s="47"/>
    </row>
    <row r="311" spans="1:12" x14ac:dyDescent="0.2">
      <c r="A311" s="46" t="s">
        <v>415</v>
      </c>
      <c r="B311" s="96" t="s">
        <v>361</v>
      </c>
      <c r="C311" s="96" t="s">
        <v>156</v>
      </c>
      <c r="D311" s="97" t="s">
        <v>485</v>
      </c>
      <c r="E311" s="96" t="s">
        <v>19</v>
      </c>
      <c r="F311" s="96" t="s">
        <v>384</v>
      </c>
      <c r="G311" s="47" t="s">
        <v>21</v>
      </c>
      <c r="H311" s="52" t="str">
        <f>VLOOKUP(G311,ColorTable[],2,FALSE)</f>
        <v>113</v>
      </c>
      <c r="I311" s="52" t="str">
        <f>VLOOKUP(G311,ColorTable[],3,FALSE)</f>
        <v>171</v>
      </c>
      <c r="J311" s="52" t="str">
        <f>VLOOKUP(G311,ColorTable[],4,FALSE)</f>
        <v>26</v>
      </c>
      <c r="K311" s="98"/>
      <c r="L311" s="47"/>
    </row>
    <row r="312" spans="1:12" x14ac:dyDescent="0.2">
      <c r="A312" s="46" t="s">
        <v>415</v>
      </c>
      <c r="B312" s="96" t="s">
        <v>362</v>
      </c>
      <c r="C312" s="96" t="s">
        <v>153</v>
      </c>
      <c r="D312" s="97" t="s">
        <v>486</v>
      </c>
      <c r="E312" s="96" t="s">
        <v>18</v>
      </c>
      <c r="F312" s="96" t="s">
        <v>385</v>
      </c>
      <c r="G312" s="47" t="s">
        <v>32</v>
      </c>
      <c r="H312" s="52" t="str">
        <f>VLOOKUP(G312,ColorTable[],2,FALSE)</f>
        <v>192</v>
      </c>
      <c r="I312" s="52" t="str">
        <f>VLOOKUP(G312,ColorTable[],3,FALSE)</f>
        <v>192</v>
      </c>
      <c r="J312" s="52" t="str">
        <f>VLOOKUP(G312,ColorTable[],4,FALSE)</f>
        <v>192</v>
      </c>
      <c r="K312" s="98"/>
      <c r="L312" s="47"/>
    </row>
    <row r="313" spans="1:12" x14ac:dyDescent="0.2">
      <c r="A313" s="46" t="s">
        <v>415</v>
      </c>
      <c r="B313" s="96" t="s">
        <v>362</v>
      </c>
      <c r="C313" s="96" t="s">
        <v>332</v>
      </c>
      <c r="D313" s="97" t="s">
        <v>487</v>
      </c>
      <c r="E313" s="96" t="s">
        <v>19</v>
      </c>
      <c r="F313" s="96" t="s">
        <v>385</v>
      </c>
      <c r="G313" s="47" t="s">
        <v>158</v>
      </c>
      <c r="H313" s="52" t="str">
        <f>VLOOKUP(G313,ColorTable[],2,FALSE)</f>
        <v>0</v>
      </c>
      <c r="I313" s="52" t="str">
        <f>VLOOKUP(G313,ColorTable[],3,FALSE)</f>
        <v>116</v>
      </c>
      <c r="J313" s="52" t="str">
        <f>VLOOKUP(G313,ColorTable[],4,FALSE)</f>
        <v>161</v>
      </c>
      <c r="K313" s="98"/>
      <c r="L313" s="47"/>
    </row>
    <row r="314" spans="1:12" x14ac:dyDescent="0.2">
      <c r="A314" s="46" t="s">
        <v>415</v>
      </c>
      <c r="B314" s="96" t="s">
        <v>362</v>
      </c>
      <c r="C314" s="96" t="s">
        <v>154</v>
      </c>
      <c r="D314" s="97" t="s">
        <v>488</v>
      </c>
      <c r="E314" s="96" t="s">
        <v>19</v>
      </c>
      <c r="F314" s="96" t="s">
        <v>385</v>
      </c>
      <c r="G314" s="47" t="s">
        <v>36</v>
      </c>
      <c r="H314" s="52" t="str">
        <f>VLOOKUP(G314,ColorTable[],2,FALSE)</f>
        <v>184</v>
      </c>
      <c r="I314" s="52" t="str">
        <f>VLOOKUP(G314,ColorTable[],3,FALSE)</f>
        <v>210</v>
      </c>
      <c r="J314" s="52" t="str">
        <f>VLOOKUP(G314,ColorTable[],4,FALSE)</f>
        <v>100</v>
      </c>
      <c r="K314" s="98"/>
      <c r="L314" s="47"/>
    </row>
    <row r="315" spans="1:12" x14ac:dyDescent="0.2">
      <c r="A315" s="46" t="s">
        <v>415</v>
      </c>
      <c r="B315" s="96" t="s">
        <v>362</v>
      </c>
      <c r="C315" s="96" t="s">
        <v>155</v>
      </c>
      <c r="D315" s="97" t="s">
        <v>489</v>
      </c>
      <c r="E315" s="96" t="s">
        <v>19</v>
      </c>
      <c r="F315" s="96" t="s">
        <v>385</v>
      </c>
      <c r="G315" s="47" t="s">
        <v>21</v>
      </c>
      <c r="H315" s="52" t="str">
        <f>VLOOKUP(G315,ColorTable[],2,FALSE)</f>
        <v>113</v>
      </c>
      <c r="I315" s="52" t="str">
        <f>VLOOKUP(G315,ColorTable[],3,FALSE)</f>
        <v>171</v>
      </c>
      <c r="J315" s="52" t="str">
        <f>VLOOKUP(G315,ColorTable[],4,FALSE)</f>
        <v>26</v>
      </c>
      <c r="K315" s="98"/>
      <c r="L315" s="47"/>
    </row>
    <row r="316" spans="1:12" x14ac:dyDescent="0.2">
      <c r="A316" s="46" t="s">
        <v>415</v>
      </c>
      <c r="B316" s="96" t="s">
        <v>362</v>
      </c>
      <c r="C316" s="96" t="s">
        <v>156</v>
      </c>
      <c r="D316" s="97" t="s">
        <v>490</v>
      </c>
      <c r="E316" s="96" t="s">
        <v>19</v>
      </c>
      <c r="F316" s="96" t="s">
        <v>385</v>
      </c>
      <c r="G316" s="47" t="s">
        <v>21</v>
      </c>
      <c r="H316" s="52" t="str">
        <f>VLOOKUP(G316,ColorTable[],2,FALSE)</f>
        <v>113</v>
      </c>
      <c r="I316" s="52" t="str">
        <f>VLOOKUP(G316,ColorTable[],3,FALSE)</f>
        <v>171</v>
      </c>
      <c r="J316" s="52" t="str">
        <f>VLOOKUP(G316,ColorTable[],4,FALSE)</f>
        <v>26</v>
      </c>
      <c r="K316" s="98"/>
      <c r="L316" s="47"/>
    </row>
    <row r="317" spans="1:12" x14ac:dyDescent="0.2">
      <c r="A317" s="46" t="s">
        <v>415</v>
      </c>
      <c r="B317" s="96" t="s">
        <v>363</v>
      </c>
      <c r="C317" s="96" t="s">
        <v>153</v>
      </c>
      <c r="D317" s="97" t="s">
        <v>491</v>
      </c>
      <c r="E317" s="96" t="s">
        <v>18</v>
      </c>
      <c r="F317" s="96" t="s">
        <v>386</v>
      </c>
      <c r="G317" s="47" t="s">
        <v>32</v>
      </c>
      <c r="H317" s="52" t="str">
        <f>VLOOKUP(G317,ColorTable[],2,FALSE)</f>
        <v>192</v>
      </c>
      <c r="I317" s="52" t="str">
        <f>VLOOKUP(G317,ColorTable[],3,FALSE)</f>
        <v>192</v>
      </c>
      <c r="J317" s="52" t="str">
        <f>VLOOKUP(G317,ColorTable[],4,FALSE)</f>
        <v>192</v>
      </c>
      <c r="K317" s="98"/>
      <c r="L317" s="47"/>
    </row>
    <row r="318" spans="1:12" x14ac:dyDescent="0.2">
      <c r="A318" s="46" t="s">
        <v>415</v>
      </c>
      <c r="B318" s="96" t="s">
        <v>363</v>
      </c>
      <c r="C318" s="96" t="s">
        <v>332</v>
      </c>
      <c r="D318" s="97" t="s">
        <v>492</v>
      </c>
      <c r="E318" s="96" t="s">
        <v>19</v>
      </c>
      <c r="F318" s="96" t="s">
        <v>386</v>
      </c>
      <c r="G318" s="47" t="s">
        <v>158</v>
      </c>
      <c r="H318" s="52" t="str">
        <f>VLOOKUP(G318,ColorTable[],2,FALSE)</f>
        <v>0</v>
      </c>
      <c r="I318" s="52" t="str">
        <f>VLOOKUP(G318,ColorTable[],3,FALSE)</f>
        <v>116</v>
      </c>
      <c r="J318" s="52" t="str">
        <f>VLOOKUP(G318,ColorTable[],4,FALSE)</f>
        <v>161</v>
      </c>
      <c r="K318" s="98"/>
      <c r="L318" s="47"/>
    </row>
    <row r="319" spans="1:12" x14ac:dyDescent="0.2">
      <c r="A319" s="46" t="s">
        <v>415</v>
      </c>
      <c r="B319" s="96" t="s">
        <v>363</v>
      </c>
      <c r="C319" s="96" t="s">
        <v>154</v>
      </c>
      <c r="D319" s="97" t="s">
        <v>493</v>
      </c>
      <c r="E319" s="96" t="s">
        <v>19</v>
      </c>
      <c r="F319" s="96" t="s">
        <v>386</v>
      </c>
      <c r="G319" s="47" t="s">
        <v>36</v>
      </c>
      <c r="H319" s="52" t="str">
        <f>VLOOKUP(G319,ColorTable[],2,FALSE)</f>
        <v>184</v>
      </c>
      <c r="I319" s="52" t="str">
        <f>VLOOKUP(G319,ColorTable[],3,FALSE)</f>
        <v>210</v>
      </c>
      <c r="J319" s="52" t="str">
        <f>VLOOKUP(G319,ColorTable[],4,FALSE)</f>
        <v>100</v>
      </c>
      <c r="K319" s="98"/>
      <c r="L319" s="47"/>
    </row>
    <row r="320" spans="1:12" x14ac:dyDescent="0.2">
      <c r="A320" s="46" t="s">
        <v>415</v>
      </c>
      <c r="B320" s="96" t="s">
        <v>363</v>
      </c>
      <c r="C320" s="96" t="s">
        <v>155</v>
      </c>
      <c r="D320" s="97" t="s">
        <v>494</v>
      </c>
      <c r="E320" s="96" t="s">
        <v>19</v>
      </c>
      <c r="F320" s="96" t="s">
        <v>386</v>
      </c>
      <c r="G320" s="47" t="s">
        <v>21</v>
      </c>
      <c r="H320" s="52" t="str">
        <f>VLOOKUP(G320,ColorTable[],2,FALSE)</f>
        <v>113</v>
      </c>
      <c r="I320" s="52" t="str">
        <f>VLOOKUP(G320,ColorTable[],3,FALSE)</f>
        <v>171</v>
      </c>
      <c r="J320" s="52" t="str">
        <f>VLOOKUP(G320,ColorTable[],4,FALSE)</f>
        <v>26</v>
      </c>
      <c r="K320" s="98"/>
      <c r="L320" s="47"/>
    </row>
    <row r="321" spans="1:12" x14ac:dyDescent="0.2">
      <c r="A321" s="46" t="s">
        <v>415</v>
      </c>
      <c r="B321" s="96" t="s">
        <v>363</v>
      </c>
      <c r="C321" s="96" t="s">
        <v>156</v>
      </c>
      <c r="D321" s="97" t="s">
        <v>495</v>
      </c>
      <c r="E321" s="96" t="s">
        <v>19</v>
      </c>
      <c r="F321" s="96" t="s">
        <v>386</v>
      </c>
      <c r="G321" s="47" t="s">
        <v>21</v>
      </c>
      <c r="H321" s="52" t="str">
        <f>VLOOKUP(G321,ColorTable[],2,FALSE)</f>
        <v>113</v>
      </c>
      <c r="I321" s="52" t="str">
        <f>VLOOKUP(G321,ColorTable[],3,FALSE)</f>
        <v>171</v>
      </c>
      <c r="J321" s="52" t="str">
        <f>VLOOKUP(G321,ColorTable[],4,FALSE)</f>
        <v>26</v>
      </c>
      <c r="K321" s="98"/>
      <c r="L321" s="47"/>
    </row>
    <row r="322" spans="1:12" x14ac:dyDescent="0.2">
      <c r="A322" s="46" t="s">
        <v>496</v>
      </c>
      <c r="B322" s="96" t="s">
        <v>357</v>
      </c>
      <c r="C322" s="96" t="s">
        <v>153</v>
      </c>
      <c r="D322" s="97" t="s">
        <v>497</v>
      </c>
      <c r="E322" s="96" t="s">
        <v>18</v>
      </c>
      <c r="F322" s="96" t="s">
        <v>356</v>
      </c>
      <c r="G322" s="47" t="s">
        <v>32</v>
      </c>
      <c r="H322" s="52" t="str">
        <f>VLOOKUP(G322,ColorTable[],2,FALSE)</f>
        <v>192</v>
      </c>
      <c r="I322" s="52" t="str">
        <f>VLOOKUP(G322,ColorTable[],3,FALSE)</f>
        <v>192</v>
      </c>
      <c r="J322" s="52" t="str">
        <f>VLOOKUP(G322,ColorTable[],4,FALSE)</f>
        <v>192</v>
      </c>
      <c r="K322" s="99">
        <v>43020.520312499997</v>
      </c>
      <c r="L322" s="47" t="s">
        <v>414</v>
      </c>
    </row>
    <row r="323" spans="1:12" x14ac:dyDescent="0.2">
      <c r="A323" s="46" t="s">
        <v>496</v>
      </c>
      <c r="B323" s="96" t="s">
        <v>357</v>
      </c>
      <c r="C323" s="96" t="s">
        <v>332</v>
      </c>
      <c r="D323" s="97" t="s">
        <v>498</v>
      </c>
      <c r="E323" s="96" t="s">
        <v>19</v>
      </c>
      <c r="F323" s="96" t="s">
        <v>356</v>
      </c>
      <c r="G323" s="47" t="s">
        <v>158</v>
      </c>
      <c r="H323" s="52" t="str">
        <f>VLOOKUP(G323,ColorTable[],2,FALSE)</f>
        <v>0</v>
      </c>
      <c r="I323" s="52" t="str">
        <f>VLOOKUP(G323,ColorTable[],3,FALSE)</f>
        <v>116</v>
      </c>
      <c r="J323" s="52" t="str">
        <f>VLOOKUP(G323,ColorTable[],4,FALSE)</f>
        <v>161</v>
      </c>
      <c r="K323" s="98"/>
      <c r="L323" s="47"/>
    </row>
    <row r="324" spans="1:12" x14ac:dyDescent="0.2">
      <c r="A324" s="46" t="s">
        <v>496</v>
      </c>
      <c r="B324" s="96" t="s">
        <v>357</v>
      </c>
      <c r="C324" s="96" t="s">
        <v>154</v>
      </c>
      <c r="D324" s="97" t="s">
        <v>499</v>
      </c>
      <c r="E324" s="96" t="s">
        <v>19</v>
      </c>
      <c r="F324" s="96" t="s">
        <v>356</v>
      </c>
      <c r="G324" s="47" t="s">
        <v>36</v>
      </c>
      <c r="H324" s="52" t="str">
        <f>VLOOKUP(G324,ColorTable[],2,FALSE)</f>
        <v>184</v>
      </c>
      <c r="I324" s="52" t="str">
        <f>VLOOKUP(G324,ColorTable[],3,FALSE)</f>
        <v>210</v>
      </c>
      <c r="J324" s="52" t="str">
        <f>VLOOKUP(G324,ColorTable[],4,FALSE)</f>
        <v>100</v>
      </c>
      <c r="K324" s="98"/>
      <c r="L324" s="47"/>
    </row>
    <row r="325" spans="1:12" x14ac:dyDescent="0.2">
      <c r="A325" s="46" t="s">
        <v>496</v>
      </c>
      <c r="B325" s="96" t="s">
        <v>357</v>
      </c>
      <c r="C325" s="96" t="s">
        <v>155</v>
      </c>
      <c r="D325" s="97" t="s">
        <v>500</v>
      </c>
      <c r="E325" s="96" t="s">
        <v>19</v>
      </c>
      <c r="F325" s="96" t="s">
        <v>356</v>
      </c>
      <c r="G325" s="47" t="s">
        <v>21</v>
      </c>
      <c r="H325" s="52" t="str">
        <f>VLOOKUP(G325,ColorTable[],2,FALSE)</f>
        <v>113</v>
      </c>
      <c r="I325" s="52" t="str">
        <f>VLOOKUP(G325,ColorTable[],3,FALSE)</f>
        <v>171</v>
      </c>
      <c r="J325" s="52" t="str">
        <f>VLOOKUP(G325,ColorTable[],4,FALSE)</f>
        <v>26</v>
      </c>
      <c r="K325" s="98"/>
      <c r="L325" s="47"/>
    </row>
    <row r="326" spans="1:12" x14ac:dyDescent="0.2">
      <c r="A326" s="46" t="s">
        <v>496</v>
      </c>
      <c r="B326" s="96" t="s">
        <v>357</v>
      </c>
      <c r="C326" s="96" t="s">
        <v>156</v>
      </c>
      <c r="D326" s="97" t="s">
        <v>501</v>
      </c>
      <c r="E326" s="96" t="s">
        <v>19</v>
      </c>
      <c r="F326" s="96" t="s">
        <v>356</v>
      </c>
      <c r="G326" s="47" t="s">
        <v>21</v>
      </c>
      <c r="H326" s="52" t="str">
        <f>VLOOKUP(G326,ColorTable[],2,FALSE)</f>
        <v>113</v>
      </c>
      <c r="I326" s="52" t="str">
        <f>VLOOKUP(G326,ColorTable[],3,FALSE)</f>
        <v>171</v>
      </c>
      <c r="J326" s="52" t="str">
        <f>VLOOKUP(G326,ColorTable[],4,FALSE)</f>
        <v>26</v>
      </c>
      <c r="K326" s="98"/>
      <c r="L326" s="47"/>
    </row>
    <row r="327" spans="1:12" x14ac:dyDescent="0.2">
      <c r="A327" s="46" t="s">
        <v>496</v>
      </c>
      <c r="B327" s="96" t="s">
        <v>358</v>
      </c>
      <c r="C327" s="96" t="s">
        <v>153</v>
      </c>
      <c r="D327" s="97" t="s">
        <v>502</v>
      </c>
      <c r="E327" s="96" t="s">
        <v>18</v>
      </c>
      <c r="F327" s="96" t="s">
        <v>381</v>
      </c>
      <c r="G327" s="47" t="s">
        <v>32</v>
      </c>
      <c r="H327" s="52" t="str">
        <f>VLOOKUP(G327,ColorTable[],2,FALSE)</f>
        <v>192</v>
      </c>
      <c r="I327" s="52" t="str">
        <f>VLOOKUP(G327,ColorTable[],3,FALSE)</f>
        <v>192</v>
      </c>
      <c r="J327" s="52" t="str">
        <f>VLOOKUP(G327,ColorTable[],4,FALSE)</f>
        <v>192</v>
      </c>
      <c r="K327" s="98"/>
      <c r="L327" s="47"/>
    </row>
    <row r="328" spans="1:12" x14ac:dyDescent="0.2">
      <c r="A328" s="46" t="s">
        <v>496</v>
      </c>
      <c r="B328" s="96" t="s">
        <v>358</v>
      </c>
      <c r="C328" s="96" t="s">
        <v>332</v>
      </c>
      <c r="D328" s="97" t="s">
        <v>503</v>
      </c>
      <c r="E328" s="96" t="s">
        <v>19</v>
      </c>
      <c r="F328" s="96" t="s">
        <v>381</v>
      </c>
      <c r="G328" s="47" t="s">
        <v>158</v>
      </c>
      <c r="H328" s="52" t="str">
        <f>VLOOKUP(G328,ColorTable[],2,FALSE)</f>
        <v>0</v>
      </c>
      <c r="I328" s="52" t="str">
        <f>VLOOKUP(G328,ColorTable[],3,FALSE)</f>
        <v>116</v>
      </c>
      <c r="J328" s="52" t="str">
        <f>VLOOKUP(G328,ColorTable[],4,FALSE)</f>
        <v>161</v>
      </c>
      <c r="K328" s="98"/>
      <c r="L328" s="47"/>
    </row>
    <row r="329" spans="1:12" x14ac:dyDescent="0.2">
      <c r="A329" s="46" t="s">
        <v>496</v>
      </c>
      <c r="B329" s="96" t="s">
        <v>358</v>
      </c>
      <c r="C329" s="96" t="s">
        <v>154</v>
      </c>
      <c r="D329" s="97" t="s">
        <v>504</v>
      </c>
      <c r="E329" s="96" t="s">
        <v>19</v>
      </c>
      <c r="F329" s="96" t="s">
        <v>381</v>
      </c>
      <c r="G329" s="47" t="s">
        <v>36</v>
      </c>
      <c r="H329" s="52" t="str">
        <f>VLOOKUP(G329,ColorTable[],2,FALSE)</f>
        <v>184</v>
      </c>
      <c r="I329" s="52" t="str">
        <f>VLOOKUP(G329,ColorTable[],3,FALSE)</f>
        <v>210</v>
      </c>
      <c r="J329" s="52" t="str">
        <f>VLOOKUP(G329,ColorTable[],4,FALSE)</f>
        <v>100</v>
      </c>
      <c r="K329" s="98"/>
      <c r="L329" s="47"/>
    </row>
    <row r="330" spans="1:12" x14ac:dyDescent="0.2">
      <c r="A330" s="46" t="s">
        <v>496</v>
      </c>
      <c r="B330" s="96" t="s">
        <v>358</v>
      </c>
      <c r="C330" s="96" t="s">
        <v>155</v>
      </c>
      <c r="D330" s="97" t="s">
        <v>505</v>
      </c>
      <c r="E330" s="96" t="s">
        <v>19</v>
      </c>
      <c r="F330" s="96" t="s">
        <v>381</v>
      </c>
      <c r="G330" s="47" t="s">
        <v>21</v>
      </c>
      <c r="H330" s="52" t="str">
        <f>VLOOKUP(G330,ColorTable[],2,FALSE)</f>
        <v>113</v>
      </c>
      <c r="I330" s="52" t="str">
        <f>VLOOKUP(G330,ColorTable[],3,FALSE)</f>
        <v>171</v>
      </c>
      <c r="J330" s="52" t="str">
        <f>VLOOKUP(G330,ColorTable[],4,FALSE)</f>
        <v>26</v>
      </c>
      <c r="K330" s="98"/>
      <c r="L330" s="47"/>
    </row>
    <row r="331" spans="1:12" x14ac:dyDescent="0.2">
      <c r="A331" s="46" t="s">
        <v>496</v>
      </c>
      <c r="B331" s="96" t="s">
        <v>358</v>
      </c>
      <c r="C331" s="96" t="s">
        <v>156</v>
      </c>
      <c r="D331" s="97" t="s">
        <v>506</v>
      </c>
      <c r="E331" s="96" t="s">
        <v>19</v>
      </c>
      <c r="F331" s="96" t="s">
        <v>381</v>
      </c>
      <c r="G331" s="47" t="s">
        <v>21</v>
      </c>
      <c r="H331" s="52" t="str">
        <f>VLOOKUP(G331,ColorTable[],2,FALSE)</f>
        <v>113</v>
      </c>
      <c r="I331" s="52" t="str">
        <f>VLOOKUP(G331,ColorTable[],3,FALSE)</f>
        <v>171</v>
      </c>
      <c r="J331" s="52" t="str">
        <f>VLOOKUP(G331,ColorTable[],4,FALSE)</f>
        <v>26</v>
      </c>
      <c r="K331" s="98"/>
      <c r="L331" s="47"/>
    </row>
    <row r="332" spans="1:12" x14ac:dyDescent="0.2">
      <c r="A332" s="46" t="s">
        <v>496</v>
      </c>
      <c r="B332" s="96" t="s">
        <v>359</v>
      </c>
      <c r="C332" s="96" t="s">
        <v>153</v>
      </c>
      <c r="D332" s="97" t="s">
        <v>507</v>
      </c>
      <c r="E332" s="96" t="s">
        <v>18</v>
      </c>
      <c r="F332" s="96" t="s">
        <v>382</v>
      </c>
      <c r="G332" s="47" t="s">
        <v>32</v>
      </c>
      <c r="H332" s="52" t="str">
        <f>VLOOKUP(G332,ColorTable[],2,FALSE)</f>
        <v>192</v>
      </c>
      <c r="I332" s="52" t="str">
        <f>VLOOKUP(G332,ColorTable[],3,FALSE)</f>
        <v>192</v>
      </c>
      <c r="J332" s="52" t="str">
        <f>VLOOKUP(G332,ColorTable[],4,FALSE)</f>
        <v>192</v>
      </c>
      <c r="K332" s="98"/>
      <c r="L332" s="47"/>
    </row>
    <row r="333" spans="1:12" x14ac:dyDescent="0.2">
      <c r="A333" s="46" t="s">
        <v>496</v>
      </c>
      <c r="B333" s="96" t="s">
        <v>359</v>
      </c>
      <c r="C333" s="96" t="s">
        <v>332</v>
      </c>
      <c r="D333" s="97" t="s">
        <v>508</v>
      </c>
      <c r="E333" s="96" t="s">
        <v>19</v>
      </c>
      <c r="F333" s="96" t="s">
        <v>382</v>
      </c>
      <c r="G333" s="47" t="s">
        <v>158</v>
      </c>
      <c r="H333" s="52" t="str">
        <f>VLOOKUP(G333,ColorTable[],2,FALSE)</f>
        <v>0</v>
      </c>
      <c r="I333" s="52" t="str">
        <f>VLOOKUP(G333,ColorTable[],3,FALSE)</f>
        <v>116</v>
      </c>
      <c r="J333" s="52" t="str">
        <f>VLOOKUP(G333,ColorTable[],4,FALSE)</f>
        <v>161</v>
      </c>
      <c r="K333" s="98"/>
      <c r="L333" s="47"/>
    </row>
    <row r="334" spans="1:12" x14ac:dyDescent="0.2">
      <c r="A334" s="46" t="s">
        <v>496</v>
      </c>
      <c r="B334" s="96" t="s">
        <v>359</v>
      </c>
      <c r="C334" s="96" t="s">
        <v>154</v>
      </c>
      <c r="D334" s="97" t="s">
        <v>509</v>
      </c>
      <c r="E334" s="96" t="s">
        <v>19</v>
      </c>
      <c r="F334" s="96" t="s">
        <v>382</v>
      </c>
      <c r="G334" s="47" t="s">
        <v>36</v>
      </c>
      <c r="H334" s="52" t="str">
        <f>VLOOKUP(G334,ColorTable[],2,FALSE)</f>
        <v>184</v>
      </c>
      <c r="I334" s="52" t="str">
        <f>VLOOKUP(G334,ColorTable[],3,FALSE)</f>
        <v>210</v>
      </c>
      <c r="J334" s="52" t="str">
        <f>VLOOKUP(G334,ColorTable[],4,FALSE)</f>
        <v>100</v>
      </c>
      <c r="K334" s="98"/>
      <c r="L334" s="47"/>
    </row>
    <row r="335" spans="1:12" x14ac:dyDescent="0.2">
      <c r="A335" s="46" t="s">
        <v>496</v>
      </c>
      <c r="B335" s="96" t="s">
        <v>359</v>
      </c>
      <c r="C335" s="96" t="s">
        <v>155</v>
      </c>
      <c r="D335" s="97" t="s">
        <v>510</v>
      </c>
      <c r="E335" s="96" t="s">
        <v>19</v>
      </c>
      <c r="F335" s="96" t="s">
        <v>382</v>
      </c>
      <c r="G335" s="47" t="s">
        <v>21</v>
      </c>
      <c r="H335" s="52" t="str">
        <f>VLOOKUP(G335,ColorTable[],2,FALSE)</f>
        <v>113</v>
      </c>
      <c r="I335" s="52" t="str">
        <f>VLOOKUP(G335,ColorTable[],3,FALSE)</f>
        <v>171</v>
      </c>
      <c r="J335" s="52" t="str">
        <f>VLOOKUP(G335,ColorTable[],4,FALSE)</f>
        <v>26</v>
      </c>
      <c r="K335" s="98"/>
      <c r="L335" s="47"/>
    </row>
    <row r="336" spans="1:12" x14ac:dyDescent="0.2">
      <c r="A336" s="46" t="s">
        <v>496</v>
      </c>
      <c r="B336" s="96" t="s">
        <v>359</v>
      </c>
      <c r="C336" s="96" t="s">
        <v>156</v>
      </c>
      <c r="D336" s="97" t="s">
        <v>511</v>
      </c>
      <c r="E336" s="96" t="s">
        <v>19</v>
      </c>
      <c r="F336" s="96" t="s">
        <v>382</v>
      </c>
      <c r="G336" s="47" t="s">
        <v>21</v>
      </c>
      <c r="H336" s="52" t="str">
        <f>VLOOKUP(G336,ColorTable[],2,FALSE)</f>
        <v>113</v>
      </c>
      <c r="I336" s="52" t="str">
        <f>VLOOKUP(G336,ColorTable[],3,FALSE)</f>
        <v>171</v>
      </c>
      <c r="J336" s="52" t="str">
        <f>VLOOKUP(G336,ColorTable[],4,FALSE)</f>
        <v>26</v>
      </c>
      <c r="K336" s="98"/>
      <c r="L336" s="47"/>
    </row>
    <row r="337" spans="1:12" x14ac:dyDescent="0.2">
      <c r="A337" s="46" t="s">
        <v>496</v>
      </c>
      <c r="B337" s="96" t="s">
        <v>360</v>
      </c>
      <c r="C337" s="96" t="s">
        <v>153</v>
      </c>
      <c r="D337" s="97" t="s">
        <v>512</v>
      </c>
      <c r="E337" s="96" t="s">
        <v>18</v>
      </c>
      <c r="F337" s="96" t="s">
        <v>383</v>
      </c>
      <c r="G337" s="47" t="s">
        <v>32</v>
      </c>
      <c r="H337" s="52" t="str">
        <f>VLOOKUP(G337,ColorTable[],2,FALSE)</f>
        <v>192</v>
      </c>
      <c r="I337" s="52" t="str">
        <f>VLOOKUP(G337,ColorTable[],3,FALSE)</f>
        <v>192</v>
      </c>
      <c r="J337" s="52" t="str">
        <f>VLOOKUP(G337,ColorTable[],4,FALSE)</f>
        <v>192</v>
      </c>
      <c r="K337" s="98"/>
      <c r="L337" s="47"/>
    </row>
    <row r="338" spans="1:12" x14ac:dyDescent="0.2">
      <c r="A338" s="46" t="s">
        <v>496</v>
      </c>
      <c r="B338" s="96" t="s">
        <v>360</v>
      </c>
      <c r="C338" s="96" t="s">
        <v>332</v>
      </c>
      <c r="D338" s="97" t="s">
        <v>513</v>
      </c>
      <c r="E338" s="96" t="s">
        <v>19</v>
      </c>
      <c r="F338" s="96" t="s">
        <v>383</v>
      </c>
      <c r="G338" s="47" t="s">
        <v>158</v>
      </c>
      <c r="H338" s="52" t="str">
        <f>VLOOKUP(G338,ColorTable[],2,FALSE)</f>
        <v>0</v>
      </c>
      <c r="I338" s="52" t="str">
        <f>VLOOKUP(G338,ColorTable[],3,FALSE)</f>
        <v>116</v>
      </c>
      <c r="J338" s="52" t="str">
        <f>VLOOKUP(G338,ColorTable[],4,FALSE)</f>
        <v>161</v>
      </c>
      <c r="K338" s="98"/>
      <c r="L338" s="47"/>
    </row>
    <row r="339" spans="1:12" x14ac:dyDescent="0.2">
      <c r="A339" s="46" t="s">
        <v>496</v>
      </c>
      <c r="B339" s="96" t="s">
        <v>360</v>
      </c>
      <c r="C339" s="96" t="s">
        <v>154</v>
      </c>
      <c r="D339" s="97" t="s">
        <v>514</v>
      </c>
      <c r="E339" s="96" t="s">
        <v>19</v>
      </c>
      <c r="F339" s="96" t="s">
        <v>383</v>
      </c>
      <c r="G339" s="47" t="s">
        <v>36</v>
      </c>
      <c r="H339" s="52" t="str">
        <f>VLOOKUP(G339,ColorTable[],2,FALSE)</f>
        <v>184</v>
      </c>
      <c r="I339" s="52" t="str">
        <f>VLOOKUP(G339,ColorTable[],3,FALSE)</f>
        <v>210</v>
      </c>
      <c r="J339" s="52" t="str">
        <f>VLOOKUP(G339,ColorTable[],4,FALSE)</f>
        <v>100</v>
      </c>
      <c r="K339" s="98"/>
      <c r="L339" s="47"/>
    </row>
    <row r="340" spans="1:12" x14ac:dyDescent="0.2">
      <c r="A340" s="46" t="s">
        <v>496</v>
      </c>
      <c r="B340" s="96" t="s">
        <v>360</v>
      </c>
      <c r="C340" s="96" t="s">
        <v>155</v>
      </c>
      <c r="D340" s="97" t="s">
        <v>515</v>
      </c>
      <c r="E340" s="96" t="s">
        <v>19</v>
      </c>
      <c r="F340" s="96" t="s">
        <v>383</v>
      </c>
      <c r="G340" s="47" t="s">
        <v>21</v>
      </c>
      <c r="H340" s="52" t="str">
        <f>VLOOKUP(G340,ColorTable[],2,FALSE)</f>
        <v>113</v>
      </c>
      <c r="I340" s="52" t="str">
        <f>VLOOKUP(G340,ColorTable[],3,FALSE)</f>
        <v>171</v>
      </c>
      <c r="J340" s="52" t="str">
        <f>VLOOKUP(G340,ColorTable[],4,FALSE)</f>
        <v>26</v>
      </c>
      <c r="K340" s="98"/>
      <c r="L340" s="47"/>
    </row>
    <row r="341" spans="1:12" x14ac:dyDescent="0.2">
      <c r="A341" s="46" t="s">
        <v>496</v>
      </c>
      <c r="B341" s="96" t="s">
        <v>360</v>
      </c>
      <c r="C341" s="96" t="s">
        <v>156</v>
      </c>
      <c r="D341" s="97" t="s">
        <v>516</v>
      </c>
      <c r="E341" s="96" t="s">
        <v>19</v>
      </c>
      <c r="F341" s="96" t="s">
        <v>383</v>
      </c>
      <c r="G341" s="47" t="s">
        <v>21</v>
      </c>
      <c r="H341" s="52" t="str">
        <f>VLOOKUP(G341,ColorTable[],2,FALSE)</f>
        <v>113</v>
      </c>
      <c r="I341" s="52" t="str">
        <f>VLOOKUP(G341,ColorTable[],3,FALSE)</f>
        <v>171</v>
      </c>
      <c r="J341" s="52" t="str">
        <f>VLOOKUP(G341,ColorTable[],4,FALSE)</f>
        <v>26</v>
      </c>
      <c r="K341" s="98"/>
      <c r="L341" s="47"/>
    </row>
    <row r="342" spans="1:12" x14ac:dyDescent="0.2">
      <c r="A342" s="46" t="s">
        <v>496</v>
      </c>
      <c r="B342" s="96" t="s">
        <v>364</v>
      </c>
      <c r="C342" s="96" t="s">
        <v>153</v>
      </c>
      <c r="D342" s="97" t="s">
        <v>517</v>
      </c>
      <c r="E342" s="96" t="s">
        <v>18</v>
      </c>
      <c r="F342" s="96" t="s">
        <v>387</v>
      </c>
      <c r="G342" s="47" t="s">
        <v>32</v>
      </c>
      <c r="H342" s="52" t="str">
        <f>VLOOKUP(G342,ColorTable[],2,FALSE)</f>
        <v>192</v>
      </c>
      <c r="I342" s="52" t="str">
        <f>VLOOKUP(G342,ColorTable[],3,FALSE)</f>
        <v>192</v>
      </c>
      <c r="J342" s="52" t="str">
        <f>VLOOKUP(G342,ColorTable[],4,FALSE)</f>
        <v>192</v>
      </c>
      <c r="K342" s="98"/>
      <c r="L342" s="47"/>
    </row>
    <row r="343" spans="1:12" x14ac:dyDescent="0.2">
      <c r="A343" s="46" t="s">
        <v>496</v>
      </c>
      <c r="B343" s="96" t="s">
        <v>364</v>
      </c>
      <c r="C343" s="96" t="s">
        <v>332</v>
      </c>
      <c r="D343" s="97" t="s">
        <v>518</v>
      </c>
      <c r="E343" s="96" t="s">
        <v>19</v>
      </c>
      <c r="F343" s="96" t="s">
        <v>387</v>
      </c>
      <c r="G343" s="47" t="s">
        <v>158</v>
      </c>
      <c r="H343" s="52" t="str">
        <f>VLOOKUP(G343,ColorTable[],2,FALSE)</f>
        <v>0</v>
      </c>
      <c r="I343" s="52" t="str">
        <f>VLOOKUP(G343,ColorTable[],3,FALSE)</f>
        <v>116</v>
      </c>
      <c r="J343" s="52" t="str">
        <f>VLOOKUP(G343,ColorTable[],4,FALSE)</f>
        <v>161</v>
      </c>
      <c r="K343" s="98"/>
      <c r="L343" s="47"/>
    </row>
    <row r="344" spans="1:12" x14ac:dyDescent="0.2">
      <c r="A344" s="46" t="s">
        <v>496</v>
      </c>
      <c r="B344" s="96" t="s">
        <v>364</v>
      </c>
      <c r="C344" s="96" t="s">
        <v>154</v>
      </c>
      <c r="D344" s="97" t="s">
        <v>519</v>
      </c>
      <c r="E344" s="96" t="s">
        <v>19</v>
      </c>
      <c r="F344" s="96" t="s">
        <v>387</v>
      </c>
      <c r="G344" s="47" t="s">
        <v>36</v>
      </c>
      <c r="H344" s="52" t="str">
        <f>VLOOKUP(G344,ColorTable[],2,FALSE)</f>
        <v>184</v>
      </c>
      <c r="I344" s="52" t="str">
        <f>VLOOKUP(G344,ColorTable[],3,FALSE)</f>
        <v>210</v>
      </c>
      <c r="J344" s="52" t="str">
        <f>VLOOKUP(G344,ColorTable[],4,FALSE)</f>
        <v>100</v>
      </c>
      <c r="K344" s="98"/>
      <c r="L344" s="47"/>
    </row>
    <row r="345" spans="1:12" x14ac:dyDescent="0.2">
      <c r="A345" s="46" t="s">
        <v>496</v>
      </c>
      <c r="B345" s="96" t="s">
        <v>364</v>
      </c>
      <c r="C345" s="96" t="s">
        <v>155</v>
      </c>
      <c r="D345" s="97" t="s">
        <v>520</v>
      </c>
      <c r="E345" s="96" t="s">
        <v>19</v>
      </c>
      <c r="F345" s="96" t="s">
        <v>387</v>
      </c>
      <c r="G345" s="47" t="s">
        <v>21</v>
      </c>
      <c r="H345" s="52" t="str">
        <f>VLOOKUP(G345,ColorTable[],2,FALSE)</f>
        <v>113</v>
      </c>
      <c r="I345" s="52" t="str">
        <f>VLOOKUP(G345,ColorTable[],3,FALSE)</f>
        <v>171</v>
      </c>
      <c r="J345" s="52" t="str">
        <f>VLOOKUP(G345,ColorTable[],4,FALSE)</f>
        <v>26</v>
      </c>
      <c r="K345" s="98"/>
      <c r="L345" s="47"/>
    </row>
    <row r="346" spans="1:12" x14ac:dyDescent="0.2">
      <c r="A346" s="46" t="s">
        <v>496</v>
      </c>
      <c r="B346" s="96" t="s">
        <v>364</v>
      </c>
      <c r="C346" s="96" t="s">
        <v>156</v>
      </c>
      <c r="D346" s="97" t="s">
        <v>521</v>
      </c>
      <c r="E346" s="96" t="s">
        <v>19</v>
      </c>
      <c r="F346" s="96" t="s">
        <v>387</v>
      </c>
      <c r="G346" s="47" t="s">
        <v>21</v>
      </c>
      <c r="H346" s="52" t="str">
        <f>VLOOKUP(G346,ColorTable[],2,FALSE)</f>
        <v>113</v>
      </c>
      <c r="I346" s="52" t="str">
        <f>VLOOKUP(G346,ColorTable[],3,FALSE)</f>
        <v>171</v>
      </c>
      <c r="J346" s="52" t="str">
        <f>VLOOKUP(G346,ColorTable[],4,FALSE)</f>
        <v>26</v>
      </c>
      <c r="K346" s="98"/>
      <c r="L346" s="47"/>
    </row>
    <row r="347" spans="1:12" x14ac:dyDescent="0.2">
      <c r="A347" s="46" t="s">
        <v>496</v>
      </c>
      <c r="B347" s="96" t="s">
        <v>348</v>
      </c>
      <c r="C347" s="96" t="s">
        <v>153</v>
      </c>
      <c r="D347" s="97" t="s">
        <v>522</v>
      </c>
      <c r="E347" s="96" t="s">
        <v>18</v>
      </c>
      <c r="F347" s="96" t="s">
        <v>373</v>
      </c>
      <c r="G347" s="47" t="s">
        <v>32</v>
      </c>
      <c r="H347" s="52" t="str">
        <f>VLOOKUP(G347,ColorTable[],2,FALSE)</f>
        <v>192</v>
      </c>
      <c r="I347" s="52" t="str">
        <f>VLOOKUP(G347,ColorTable[],3,FALSE)</f>
        <v>192</v>
      </c>
      <c r="J347" s="52" t="str">
        <f>VLOOKUP(G347,ColorTable[],4,FALSE)</f>
        <v>192</v>
      </c>
      <c r="K347" s="98"/>
      <c r="L347" s="47"/>
    </row>
    <row r="348" spans="1:12" x14ac:dyDescent="0.2">
      <c r="A348" s="46" t="s">
        <v>496</v>
      </c>
      <c r="B348" s="96" t="s">
        <v>348</v>
      </c>
      <c r="C348" s="96" t="s">
        <v>332</v>
      </c>
      <c r="D348" s="97" t="s">
        <v>523</v>
      </c>
      <c r="E348" s="96" t="s">
        <v>19</v>
      </c>
      <c r="F348" s="96" t="s">
        <v>373</v>
      </c>
      <c r="G348" s="47" t="s">
        <v>158</v>
      </c>
      <c r="H348" s="52" t="str">
        <f>VLOOKUP(G348,ColorTable[],2,FALSE)</f>
        <v>0</v>
      </c>
      <c r="I348" s="52" t="str">
        <f>VLOOKUP(G348,ColorTable[],3,FALSE)</f>
        <v>116</v>
      </c>
      <c r="J348" s="52" t="str">
        <f>VLOOKUP(G348,ColorTable[],4,FALSE)</f>
        <v>161</v>
      </c>
      <c r="K348" s="98"/>
      <c r="L348" s="47"/>
    </row>
    <row r="349" spans="1:12" x14ac:dyDescent="0.2">
      <c r="A349" s="46" t="s">
        <v>496</v>
      </c>
      <c r="B349" s="96" t="s">
        <v>348</v>
      </c>
      <c r="C349" s="96" t="s">
        <v>154</v>
      </c>
      <c r="D349" s="97" t="s">
        <v>524</v>
      </c>
      <c r="E349" s="96" t="s">
        <v>19</v>
      </c>
      <c r="F349" s="96" t="s">
        <v>373</v>
      </c>
      <c r="G349" s="47" t="s">
        <v>36</v>
      </c>
      <c r="H349" s="52" t="str">
        <f>VLOOKUP(G349,ColorTable[],2,FALSE)</f>
        <v>184</v>
      </c>
      <c r="I349" s="52" t="str">
        <f>VLOOKUP(G349,ColorTable[],3,FALSE)</f>
        <v>210</v>
      </c>
      <c r="J349" s="52" t="str">
        <f>VLOOKUP(G349,ColorTable[],4,FALSE)</f>
        <v>100</v>
      </c>
      <c r="K349" s="98"/>
      <c r="L349" s="47"/>
    </row>
    <row r="350" spans="1:12" x14ac:dyDescent="0.2">
      <c r="A350" s="46" t="s">
        <v>496</v>
      </c>
      <c r="B350" s="96" t="s">
        <v>348</v>
      </c>
      <c r="C350" s="96" t="s">
        <v>155</v>
      </c>
      <c r="D350" s="97" t="s">
        <v>525</v>
      </c>
      <c r="E350" s="96" t="s">
        <v>19</v>
      </c>
      <c r="F350" s="96" t="s">
        <v>373</v>
      </c>
      <c r="G350" s="47" t="s">
        <v>21</v>
      </c>
      <c r="H350" s="52" t="str">
        <f>VLOOKUP(G350,ColorTable[],2,FALSE)</f>
        <v>113</v>
      </c>
      <c r="I350" s="52" t="str">
        <f>VLOOKUP(G350,ColorTable[],3,FALSE)</f>
        <v>171</v>
      </c>
      <c r="J350" s="52" t="str">
        <f>VLOOKUP(G350,ColorTable[],4,FALSE)</f>
        <v>26</v>
      </c>
      <c r="K350" s="98"/>
      <c r="L350" s="47"/>
    </row>
    <row r="351" spans="1:12" x14ac:dyDescent="0.2">
      <c r="A351" s="46" t="s">
        <v>496</v>
      </c>
      <c r="B351" s="96" t="s">
        <v>348</v>
      </c>
      <c r="C351" s="96" t="s">
        <v>156</v>
      </c>
      <c r="D351" s="97" t="s">
        <v>526</v>
      </c>
      <c r="E351" s="96" t="s">
        <v>19</v>
      </c>
      <c r="F351" s="96" t="s">
        <v>373</v>
      </c>
      <c r="G351" s="47" t="s">
        <v>21</v>
      </c>
      <c r="H351" s="52" t="str">
        <f>VLOOKUP(G351,ColorTable[],2,FALSE)</f>
        <v>113</v>
      </c>
      <c r="I351" s="52" t="str">
        <f>VLOOKUP(G351,ColorTable[],3,FALSE)</f>
        <v>171</v>
      </c>
      <c r="J351" s="52" t="str">
        <f>VLOOKUP(G351,ColorTable[],4,FALSE)</f>
        <v>26</v>
      </c>
      <c r="K351" s="98"/>
      <c r="L351" s="47"/>
    </row>
    <row r="352" spans="1:12" x14ac:dyDescent="0.2">
      <c r="A352" s="46" t="s">
        <v>496</v>
      </c>
      <c r="B352" s="96" t="s">
        <v>349</v>
      </c>
      <c r="C352" s="96" t="s">
        <v>153</v>
      </c>
      <c r="D352" s="97" t="s">
        <v>527</v>
      </c>
      <c r="E352" s="96" t="s">
        <v>18</v>
      </c>
      <c r="F352" s="96" t="s">
        <v>374</v>
      </c>
      <c r="G352" s="47" t="s">
        <v>32</v>
      </c>
      <c r="H352" s="52" t="str">
        <f>VLOOKUP(G352,ColorTable[],2,FALSE)</f>
        <v>192</v>
      </c>
      <c r="I352" s="52" t="str">
        <f>VLOOKUP(G352,ColorTable[],3,FALSE)</f>
        <v>192</v>
      </c>
      <c r="J352" s="52" t="str">
        <f>VLOOKUP(G352,ColorTable[],4,FALSE)</f>
        <v>192</v>
      </c>
      <c r="K352" s="98"/>
      <c r="L352" s="47"/>
    </row>
    <row r="353" spans="1:12" x14ac:dyDescent="0.2">
      <c r="A353" s="46" t="s">
        <v>496</v>
      </c>
      <c r="B353" s="96" t="s">
        <v>349</v>
      </c>
      <c r="C353" s="96" t="s">
        <v>332</v>
      </c>
      <c r="D353" s="97" t="s">
        <v>528</v>
      </c>
      <c r="E353" s="96" t="s">
        <v>19</v>
      </c>
      <c r="F353" s="96" t="s">
        <v>374</v>
      </c>
      <c r="G353" s="47" t="s">
        <v>158</v>
      </c>
      <c r="H353" s="52" t="str">
        <f>VLOOKUP(G353,ColorTable[],2,FALSE)</f>
        <v>0</v>
      </c>
      <c r="I353" s="52" t="str">
        <f>VLOOKUP(G353,ColorTable[],3,FALSE)</f>
        <v>116</v>
      </c>
      <c r="J353" s="52" t="str">
        <f>VLOOKUP(G353,ColorTable[],4,FALSE)</f>
        <v>161</v>
      </c>
      <c r="K353" s="98"/>
      <c r="L353" s="47"/>
    </row>
    <row r="354" spans="1:12" x14ac:dyDescent="0.2">
      <c r="A354" s="46" t="s">
        <v>496</v>
      </c>
      <c r="B354" s="96" t="s">
        <v>349</v>
      </c>
      <c r="C354" s="96" t="s">
        <v>154</v>
      </c>
      <c r="D354" s="97" t="s">
        <v>529</v>
      </c>
      <c r="E354" s="96" t="s">
        <v>19</v>
      </c>
      <c r="F354" s="96" t="s">
        <v>374</v>
      </c>
      <c r="G354" s="47" t="s">
        <v>36</v>
      </c>
      <c r="H354" s="52" t="str">
        <f>VLOOKUP(G354,ColorTable[],2,FALSE)</f>
        <v>184</v>
      </c>
      <c r="I354" s="52" t="str">
        <f>VLOOKUP(G354,ColorTable[],3,FALSE)</f>
        <v>210</v>
      </c>
      <c r="J354" s="52" t="str">
        <f>VLOOKUP(G354,ColorTable[],4,FALSE)</f>
        <v>100</v>
      </c>
      <c r="K354" s="98"/>
      <c r="L354" s="47"/>
    </row>
    <row r="355" spans="1:12" x14ac:dyDescent="0.2">
      <c r="A355" s="46" t="s">
        <v>496</v>
      </c>
      <c r="B355" s="96" t="s">
        <v>349</v>
      </c>
      <c r="C355" s="96" t="s">
        <v>155</v>
      </c>
      <c r="D355" s="97" t="s">
        <v>530</v>
      </c>
      <c r="E355" s="96" t="s">
        <v>19</v>
      </c>
      <c r="F355" s="96" t="s">
        <v>374</v>
      </c>
      <c r="G355" s="47" t="s">
        <v>21</v>
      </c>
      <c r="H355" s="52" t="str">
        <f>VLOOKUP(G355,ColorTable[],2,FALSE)</f>
        <v>113</v>
      </c>
      <c r="I355" s="52" t="str">
        <f>VLOOKUP(G355,ColorTable[],3,FALSE)</f>
        <v>171</v>
      </c>
      <c r="J355" s="52" t="str">
        <f>VLOOKUP(G355,ColorTable[],4,FALSE)</f>
        <v>26</v>
      </c>
      <c r="K355" s="98"/>
      <c r="L355" s="47"/>
    </row>
    <row r="356" spans="1:12" x14ac:dyDescent="0.2">
      <c r="A356" s="46" t="s">
        <v>496</v>
      </c>
      <c r="B356" s="96" t="s">
        <v>349</v>
      </c>
      <c r="C356" s="96" t="s">
        <v>156</v>
      </c>
      <c r="D356" s="97" t="s">
        <v>531</v>
      </c>
      <c r="E356" s="96" t="s">
        <v>19</v>
      </c>
      <c r="F356" s="96" t="s">
        <v>374</v>
      </c>
      <c r="G356" s="47" t="s">
        <v>21</v>
      </c>
      <c r="H356" s="52" t="str">
        <f>VLOOKUP(G356,ColorTable[],2,FALSE)</f>
        <v>113</v>
      </c>
      <c r="I356" s="52" t="str">
        <f>VLOOKUP(G356,ColorTable[],3,FALSE)</f>
        <v>171</v>
      </c>
      <c r="J356" s="52" t="str">
        <f>VLOOKUP(G356,ColorTable[],4,FALSE)</f>
        <v>26</v>
      </c>
      <c r="K356" s="98"/>
      <c r="L356" s="47"/>
    </row>
    <row r="357" spans="1:12" x14ac:dyDescent="0.2">
      <c r="A357" s="46" t="s">
        <v>496</v>
      </c>
      <c r="B357" s="96" t="s">
        <v>350</v>
      </c>
      <c r="C357" s="96" t="s">
        <v>153</v>
      </c>
      <c r="D357" s="97" t="s">
        <v>532</v>
      </c>
      <c r="E357" s="96" t="s">
        <v>18</v>
      </c>
      <c r="F357" s="96" t="s">
        <v>375</v>
      </c>
      <c r="G357" s="47" t="s">
        <v>32</v>
      </c>
      <c r="H357" s="52" t="str">
        <f>VLOOKUP(G357,ColorTable[],2,FALSE)</f>
        <v>192</v>
      </c>
      <c r="I357" s="52" t="str">
        <f>VLOOKUP(G357,ColorTable[],3,FALSE)</f>
        <v>192</v>
      </c>
      <c r="J357" s="52" t="str">
        <f>VLOOKUP(G357,ColorTable[],4,FALSE)</f>
        <v>192</v>
      </c>
      <c r="K357" s="98"/>
      <c r="L357" s="47"/>
    </row>
    <row r="358" spans="1:12" x14ac:dyDescent="0.2">
      <c r="A358" s="46" t="s">
        <v>496</v>
      </c>
      <c r="B358" s="96" t="s">
        <v>350</v>
      </c>
      <c r="C358" s="96" t="s">
        <v>332</v>
      </c>
      <c r="D358" s="97" t="s">
        <v>533</v>
      </c>
      <c r="E358" s="96" t="s">
        <v>19</v>
      </c>
      <c r="F358" s="96" t="s">
        <v>375</v>
      </c>
      <c r="G358" s="47" t="s">
        <v>158</v>
      </c>
      <c r="H358" s="52" t="str">
        <f>VLOOKUP(G358,ColorTable[],2,FALSE)</f>
        <v>0</v>
      </c>
      <c r="I358" s="52" t="str">
        <f>VLOOKUP(G358,ColorTable[],3,FALSE)</f>
        <v>116</v>
      </c>
      <c r="J358" s="52" t="str">
        <f>VLOOKUP(G358,ColorTable[],4,FALSE)</f>
        <v>161</v>
      </c>
      <c r="K358" s="98"/>
      <c r="L358" s="47"/>
    </row>
    <row r="359" spans="1:12" x14ac:dyDescent="0.2">
      <c r="A359" s="46" t="s">
        <v>496</v>
      </c>
      <c r="B359" s="96" t="s">
        <v>350</v>
      </c>
      <c r="C359" s="96" t="s">
        <v>154</v>
      </c>
      <c r="D359" s="97" t="s">
        <v>534</v>
      </c>
      <c r="E359" s="96" t="s">
        <v>19</v>
      </c>
      <c r="F359" s="96" t="s">
        <v>375</v>
      </c>
      <c r="G359" s="47" t="s">
        <v>36</v>
      </c>
      <c r="H359" s="52" t="str">
        <f>VLOOKUP(G359,ColorTable[],2,FALSE)</f>
        <v>184</v>
      </c>
      <c r="I359" s="52" t="str">
        <f>VLOOKUP(G359,ColorTable[],3,FALSE)</f>
        <v>210</v>
      </c>
      <c r="J359" s="52" t="str">
        <f>VLOOKUP(G359,ColorTable[],4,FALSE)</f>
        <v>100</v>
      </c>
      <c r="K359" s="98"/>
      <c r="L359" s="47"/>
    </row>
    <row r="360" spans="1:12" x14ac:dyDescent="0.2">
      <c r="A360" s="46" t="s">
        <v>496</v>
      </c>
      <c r="B360" s="96" t="s">
        <v>350</v>
      </c>
      <c r="C360" s="96" t="s">
        <v>155</v>
      </c>
      <c r="D360" s="97" t="s">
        <v>535</v>
      </c>
      <c r="E360" s="96" t="s">
        <v>19</v>
      </c>
      <c r="F360" s="96" t="s">
        <v>375</v>
      </c>
      <c r="G360" s="47" t="s">
        <v>21</v>
      </c>
      <c r="H360" s="52" t="str">
        <f>VLOOKUP(G360,ColorTable[],2,FALSE)</f>
        <v>113</v>
      </c>
      <c r="I360" s="52" t="str">
        <f>VLOOKUP(G360,ColorTable[],3,FALSE)</f>
        <v>171</v>
      </c>
      <c r="J360" s="52" t="str">
        <f>VLOOKUP(G360,ColorTable[],4,FALSE)</f>
        <v>26</v>
      </c>
      <c r="K360" s="98"/>
      <c r="L360" s="47"/>
    </row>
    <row r="361" spans="1:12" x14ac:dyDescent="0.2">
      <c r="A361" s="46" t="s">
        <v>496</v>
      </c>
      <c r="B361" s="96" t="s">
        <v>350</v>
      </c>
      <c r="C361" s="96" t="s">
        <v>156</v>
      </c>
      <c r="D361" s="97" t="s">
        <v>536</v>
      </c>
      <c r="E361" s="96" t="s">
        <v>19</v>
      </c>
      <c r="F361" s="96" t="s">
        <v>375</v>
      </c>
      <c r="G361" s="47" t="s">
        <v>21</v>
      </c>
      <c r="H361" s="52" t="str">
        <f>VLOOKUP(G361,ColorTable[],2,FALSE)</f>
        <v>113</v>
      </c>
      <c r="I361" s="52" t="str">
        <f>VLOOKUP(G361,ColorTable[],3,FALSE)</f>
        <v>171</v>
      </c>
      <c r="J361" s="52" t="str">
        <f>VLOOKUP(G361,ColorTable[],4,FALSE)</f>
        <v>26</v>
      </c>
      <c r="K361" s="98"/>
      <c r="L361" s="47"/>
    </row>
    <row r="362" spans="1:12" x14ac:dyDescent="0.2">
      <c r="A362" s="46" t="s">
        <v>496</v>
      </c>
      <c r="B362" s="96" t="s">
        <v>351</v>
      </c>
      <c r="C362" s="96" t="s">
        <v>153</v>
      </c>
      <c r="D362" s="97" t="s">
        <v>537</v>
      </c>
      <c r="E362" s="96" t="s">
        <v>18</v>
      </c>
      <c r="F362" s="96" t="s">
        <v>376</v>
      </c>
      <c r="G362" s="47" t="s">
        <v>32</v>
      </c>
      <c r="H362" s="52" t="str">
        <f>VLOOKUP(G362,ColorTable[],2,FALSE)</f>
        <v>192</v>
      </c>
      <c r="I362" s="52" t="str">
        <f>VLOOKUP(G362,ColorTable[],3,FALSE)</f>
        <v>192</v>
      </c>
      <c r="J362" s="52" t="str">
        <f>VLOOKUP(G362,ColorTable[],4,FALSE)</f>
        <v>192</v>
      </c>
      <c r="K362" s="98"/>
      <c r="L362" s="47"/>
    </row>
    <row r="363" spans="1:12" x14ac:dyDescent="0.2">
      <c r="A363" s="46" t="s">
        <v>496</v>
      </c>
      <c r="B363" s="96" t="s">
        <v>351</v>
      </c>
      <c r="C363" s="96" t="s">
        <v>332</v>
      </c>
      <c r="D363" s="97" t="s">
        <v>538</v>
      </c>
      <c r="E363" s="96" t="s">
        <v>19</v>
      </c>
      <c r="F363" s="96" t="s">
        <v>376</v>
      </c>
      <c r="G363" s="47" t="s">
        <v>158</v>
      </c>
      <c r="H363" s="52" t="str">
        <f>VLOOKUP(G363,ColorTable[],2,FALSE)</f>
        <v>0</v>
      </c>
      <c r="I363" s="52" t="str">
        <f>VLOOKUP(G363,ColorTable[],3,FALSE)</f>
        <v>116</v>
      </c>
      <c r="J363" s="52" t="str">
        <f>VLOOKUP(G363,ColorTable[],4,FALSE)</f>
        <v>161</v>
      </c>
      <c r="K363" s="98"/>
      <c r="L363" s="47"/>
    </row>
    <row r="364" spans="1:12" x14ac:dyDescent="0.2">
      <c r="A364" s="46" t="s">
        <v>496</v>
      </c>
      <c r="B364" s="96" t="s">
        <v>351</v>
      </c>
      <c r="C364" s="96" t="s">
        <v>154</v>
      </c>
      <c r="D364" s="97" t="s">
        <v>539</v>
      </c>
      <c r="E364" s="96" t="s">
        <v>19</v>
      </c>
      <c r="F364" s="96" t="s">
        <v>376</v>
      </c>
      <c r="G364" s="47" t="s">
        <v>36</v>
      </c>
      <c r="H364" s="52" t="str">
        <f>VLOOKUP(G364,ColorTable[],2,FALSE)</f>
        <v>184</v>
      </c>
      <c r="I364" s="52" t="str">
        <f>VLOOKUP(G364,ColorTable[],3,FALSE)</f>
        <v>210</v>
      </c>
      <c r="J364" s="52" t="str">
        <f>VLOOKUP(G364,ColorTable[],4,FALSE)</f>
        <v>100</v>
      </c>
      <c r="K364" s="98"/>
      <c r="L364" s="47"/>
    </row>
    <row r="365" spans="1:12" x14ac:dyDescent="0.2">
      <c r="A365" s="46" t="s">
        <v>496</v>
      </c>
      <c r="B365" s="96" t="s">
        <v>351</v>
      </c>
      <c r="C365" s="96" t="s">
        <v>155</v>
      </c>
      <c r="D365" s="97" t="s">
        <v>540</v>
      </c>
      <c r="E365" s="96" t="s">
        <v>19</v>
      </c>
      <c r="F365" s="96" t="s">
        <v>376</v>
      </c>
      <c r="G365" s="47" t="s">
        <v>21</v>
      </c>
      <c r="H365" s="52" t="str">
        <f>VLOOKUP(G365,ColorTable[],2,FALSE)</f>
        <v>113</v>
      </c>
      <c r="I365" s="52" t="str">
        <f>VLOOKUP(G365,ColorTable[],3,FALSE)</f>
        <v>171</v>
      </c>
      <c r="J365" s="52" t="str">
        <f>VLOOKUP(G365,ColorTable[],4,FALSE)</f>
        <v>26</v>
      </c>
      <c r="K365" s="98"/>
      <c r="L365" s="47"/>
    </row>
    <row r="366" spans="1:12" x14ac:dyDescent="0.2">
      <c r="A366" s="46" t="s">
        <v>496</v>
      </c>
      <c r="B366" s="96" t="s">
        <v>351</v>
      </c>
      <c r="C366" s="96" t="s">
        <v>156</v>
      </c>
      <c r="D366" s="97" t="s">
        <v>541</v>
      </c>
      <c r="E366" s="96" t="s">
        <v>19</v>
      </c>
      <c r="F366" s="96" t="s">
        <v>376</v>
      </c>
      <c r="G366" s="47" t="s">
        <v>21</v>
      </c>
      <c r="H366" s="52" t="str">
        <f>VLOOKUP(G366,ColorTable[],2,FALSE)</f>
        <v>113</v>
      </c>
      <c r="I366" s="52" t="str">
        <f>VLOOKUP(G366,ColorTable[],3,FALSE)</f>
        <v>171</v>
      </c>
      <c r="J366" s="52" t="str">
        <f>VLOOKUP(G366,ColorTable[],4,FALSE)</f>
        <v>26</v>
      </c>
      <c r="K366" s="98"/>
      <c r="L366" s="47"/>
    </row>
    <row r="367" spans="1:12" x14ac:dyDescent="0.2">
      <c r="A367" s="46" t="s">
        <v>496</v>
      </c>
      <c r="B367" s="96" t="s">
        <v>352</v>
      </c>
      <c r="C367" s="96" t="s">
        <v>153</v>
      </c>
      <c r="D367" s="97" t="s">
        <v>542</v>
      </c>
      <c r="E367" s="96" t="s">
        <v>18</v>
      </c>
      <c r="F367" s="96" t="s">
        <v>377</v>
      </c>
      <c r="G367" s="47" t="s">
        <v>32</v>
      </c>
      <c r="H367" s="52" t="str">
        <f>VLOOKUP(G367,ColorTable[],2,FALSE)</f>
        <v>192</v>
      </c>
      <c r="I367" s="52" t="str">
        <f>VLOOKUP(G367,ColorTable[],3,FALSE)</f>
        <v>192</v>
      </c>
      <c r="J367" s="52" t="str">
        <f>VLOOKUP(G367,ColorTable[],4,FALSE)</f>
        <v>192</v>
      </c>
      <c r="K367" s="99">
        <v>43019.482071759259</v>
      </c>
      <c r="L367" s="47" t="s">
        <v>414</v>
      </c>
    </row>
    <row r="368" spans="1:12" x14ac:dyDescent="0.2">
      <c r="A368" s="46" t="s">
        <v>496</v>
      </c>
      <c r="B368" s="96" t="s">
        <v>352</v>
      </c>
      <c r="C368" s="96" t="s">
        <v>332</v>
      </c>
      <c r="D368" s="97" t="s">
        <v>543</v>
      </c>
      <c r="E368" s="96" t="s">
        <v>19</v>
      </c>
      <c r="F368" s="96" t="s">
        <v>377</v>
      </c>
      <c r="G368" s="47" t="s">
        <v>158</v>
      </c>
      <c r="H368" s="52" t="str">
        <f>VLOOKUP(G368,ColorTable[],2,FALSE)</f>
        <v>0</v>
      </c>
      <c r="I368" s="52" t="str">
        <f>VLOOKUP(G368,ColorTable[],3,FALSE)</f>
        <v>116</v>
      </c>
      <c r="J368" s="52" t="str">
        <f>VLOOKUP(G368,ColorTable[],4,FALSE)</f>
        <v>161</v>
      </c>
      <c r="K368" s="99">
        <v>43019.333680555559</v>
      </c>
      <c r="L368" s="47" t="s">
        <v>414</v>
      </c>
    </row>
    <row r="369" spans="1:12" x14ac:dyDescent="0.2">
      <c r="A369" s="46" t="s">
        <v>496</v>
      </c>
      <c r="B369" s="96" t="s">
        <v>352</v>
      </c>
      <c r="C369" s="96" t="s">
        <v>154</v>
      </c>
      <c r="D369" s="97" t="s">
        <v>544</v>
      </c>
      <c r="E369" s="96" t="s">
        <v>19</v>
      </c>
      <c r="F369" s="96" t="s">
        <v>377</v>
      </c>
      <c r="G369" s="47" t="s">
        <v>36</v>
      </c>
      <c r="H369" s="52" t="str">
        <f>VLOOKUP(G369,ColorTable[],2,FALSE)</f>
        <v>184</v>
      </c>
      <c r="I369" s="52" t="str">
        <f>VLOOKUP(G369,ColorTable[],3,FALSE)</f>
        <v>210</v>
      </c>
      <c r="J369" s="52" t="str">
        <f>VLOOKUP(G369,ColorTable[],4,FALSE)</f>
        <v>100</v>
      </c>
      <c r="K369" s="98"/>
      <c r="L369" s="47"/>
    </row>
    <row r="370" spans="1:12" x14ac:dyDescent="0.2">
      <c r="A370" s="46" t="s">
        <v>496</v>
      </c>
      <c r="B370" s="96" t="s">
        <v>352</v>
      </c>
      <c r="C370" s="96" t="s">
        <v>155</v>
      </c>
      <c r="D370" s="97" t="s">
        <v>545</v>
      </c>
      <c r="E370" s="96" t="s">
        <v>19</v>
      </c>
      <c r="F370" s="96" t="s">
        <v>377</v>
      </c>
      <c r="G370" s="47" t="s">
        <v>21</v>
      </c>
      <c r="H370" s="52" t="str">
        <f>VLOOKUP(G370,ColorTable[],2,FALSE)</f>
        <v>113</v>
      </c>
      <c r="I370" s="52" t="str">
        <f>VLOOKUP(G370,ColorTable[],3,FALSE)</f>
        <v>171</v>
      </c>
      <c r="J370" s="52" t="str">
        <f>VLOOKUP(G370,ColorTable[],4,FALSE)</f>
        <v>26</v>
      </c>
      <c r="K370" s="98"/>
      <c r="L370" s="47"/>
    </row>
    <row r="371" spans="1:12" x14ac:dyDescent="0.2">
      <c r="A371" s="46" t="s">
        <v>496</v>
      </c>
      <c r="B371" s="96" t="s">
        <v>352</v>
      </c>
      <c r="C371" s="96" t="s">
        <v>156</v>
      </c>
      <c r="D371" s="97" t="s">
        <v>546</v>
      </c>
      <c r="E371" s="96" t="s">
        <v>19</v>
      </c>
      <c r="F371" s="96" t="s">
        <v>377</v>
      </c>
      <c r="G371" s="47" t="s">
        <v>21</v>
      </c>
      <c r="H371" s="52" t="str">
        <f>VLOOKUP(G371,ColorTable[],2,FALSE)</f>
        <v>113</v>
      </c>
      <c r="I371" s="52" t="str">
        <f>VLOOKUP(G371,ColorTable[],3,FALSE)</f>
        <v>171</v>
      </c>
      <c r="J371" s="52" t="str">
        <f>VLOOKUP(G371,ColorTable[],4,FALSE)</f>
        <v>26</v>
      </c>
      <c r="K371" s="98"/>
      <c r="L371" s="47"/>
    </row>
    <row r="372" spans="1:12" x14ac:dyDescent="0.2">
      <c r="A372" s="46" t="s">
        <v>496</v>
      </c>
      <c r="B372" s="96" t="s">
        <v>353</v>
      </c>
      <c r="C372" s="96" t="s">
        <v>153</v>
      </c>
      <c r="D372" s="97" t="s">
        <v>547</v>
      </c>
      <c r="E372" s="96" t="s">
        <v>18</v>
      </c>
      <c r="F372" s="96" t="s">
        <v>378</v>
      </c>
      <c r="G372" s="47" t="s">
        <v>32</v>
      </c>
      <c r="H372" s="52" t="str">
        <f>VLOOKUP(G372,ColorTable[],2,FALSE)</f>
        <v>192</v>
      </c>
      <c r="I372" s="52" t="str">
        <f>VLOOKUP(G372,ColorTable[],3,FALSE)</f>
        <v>192</v>
      </c>
      <c r="J372" s="52" t="str">
        <f>VLOOKUP(G372,ColorTable[],4,FALSE)</f>
        <v>192</v>
      </c>
      <c r="K372" s="98"/>
      <c r="L372" s="47"/>
    </row>
    <row r="373" spans="1:12" x14ac:dyDescent="0.2">
      <c r="A373" s="46" t="s">
        <v>496</v>
      </c>
      <c r="B373" s="96" t="s">
        <v>353</v>
      </c>
      <c r="C373" s="96" t="s">
        <v>332</v>
      </c>
      <c r="D373" s="97" t="s">
        <v>548</v>
      </c>
      <c r="E373" s="96" t="s">
        <v>19</v>
      </c>
      <c r="F373" s="96" t="s">
        <v>378</v>
      </c>
      <c r="G373" s="47" t="s">
        <v>158</v>
      </c>
      <c r="H373" s="52" t="str">
        <f>VLOOKUP(G373,ColorTable[],2,FALSE)</f>
        <v>0</v>
      </c>
      <c r="I373" s="52" t="str">
        <f>VLOOKUP(G373,ColorTable[],3,FALSE)</f>
        <v>116</v>
      </c>
      <c r="J373" s="52" t="str">
        <f>VLOOKUP(G373,ColorTable[],4,FALSE)</f>
        <v>161</v>
      </c>
      <c r="K373" s="98"/>
      <c r="L373" s="47"/>
    </row>
    <row r="374" spans="1:12" x14ac:dyDescent="0.2">
      <c r="A374" s="46" t="s">
        <v>496</v>
      </c>
      <c r="B374" s="96" t="s">
        <v>353</v>
      </c>
      <c r="C374" s="96" t="s">
        <v>154</v>
      </c>
      <c r="D374" s="97" t="s">
        <v>549</v>
      </c>
      <c r="E374" s="96" t="s">
        <v>19</v>
      </c>
      <c r="F374" s="96" t="s">
        <v>378</v>
      </c>
      <c r="G374" s="47" t="s">
        <v>36</v>
      </c>
      <c r="H374" s="52" t="str">
        <f>VLOOKUP(G374,ColorTable[],2,FALSE)</f>
        <v>184</v>
      </c>
      <c r="I374" s="52" t="str">
        <f>VLOOKUP(G374,ColorTable[],3,FALSE)</f>
        <v>210</v>
      </c>
      <c r="J374" s="52" t="str">
        <f>VLOOKUP(G374,ColorTable[],4,FALSE)</f>
        <v>100</v>
      </c>
      <c r="K374" s="98"/>
      <c r="L374" s="47"/>
    </row>
    <row r="375" spans="1:12" x14ac:dyDescent="0.2">
      <c r="A375" s="46" t="s">
        <v>496</v>
      </c>
      <c r="B375" s="96" t="s">
        <v>353</v>
      </c>
      <c r="C375" s="96" t="s">
        <v>155</v>
      </c>
      <c r="D375" s="97" t="s">
        <v>550</v>
      </c>
      <c r="E375" s="96" t="s">
        <v>19</v>
      </c>
      <c r="F375" s="96" t="s">
        <v>378</v>
      </c>
      <c r="G375" s="47" t="s">
        <v>21</v>
      </c>
      <c r="H375" s="52" t="str">
        <f>VLOOKUP(G375,ColorTable[],2,FALSE)</f>
        <v>113</v>
      </c>
      <c r="I375" s="52" t="str">
        <f>VLOOKUP(G375,ColorTable[],3,FALSE)</f>
        <v>171</v>
      </c>
      <c r="J375" s="52" t="str">
        <f>VLOOKUP(G375,ColorTable[],4,FALSE)</f>
        <v>26</v>
      </c>
      <c r="K375" s="98"/>
      <c r="L375" s="47"/>
    </row>
    <row r="376" spans="1:12" x14ac:dyDescent="0.2">
      <c r="A376" s="46" t="s">
        <v>496</v>
      </c>
      <c r="B376" s="96" t="s">
        <v>353</v>
      </c>
      <c r="C376" s="96" t="s">
        <v>156</v>
      </c>
      <c r="D376" s="97" t="s">
        <v>551</v>
      </c>
      <c r="E376" s="96" t="s">
        <v>19</v>
      </c>
      <c r="F376" s="96" t="s">
        <v>378</v>
      </c>
      <c r="G376" s="47" t="s">
        <v>21</v>
      </c>
      <c r="H376" s="52" t="str">
        <f>VLOOKUP(G376,ColorTable[],2,FALSE)</f>
        <v>113</v>
      </c>
      <c r="I376" s="52" t="str">
        <f>VLOOKUP(G376,ColorTable[],3,FALSE)</f>
        <v>171</v>
      </c>
      <c r="J376" s="52" t="str">
        <f>VLOOKUP(G376,ColorTable[],4,FALSE)</f>
        <v>26</v>
      </c>
      <c r="K376" s="98"/>
      <c r="L376" s="47"/>
    </row>
    <row r="377" spans="1:12" x14ac:dyDescent="0.2">
      <c r="A377" s="46" t="s">
        <v>496</v>
      </c>
      <c r="B377" s="96" t="s">
        <v>354</v>
      </c>
      <c r="C377" s="96" t="s">
        <v>153</v>
      </c>
      <c r="D377" s="97" t="s">
        <v>552</v>
      </c>
      <c r="E377" s="96" t="s">
        <v>18</v>
      </c>
      <c r="F377" s="96" t="s">
        <v>379</v>
      </c>
      <c r="G377" s="47" t="s">
        <v>32</v>
      </c>
      <c r="H377" s="52" t="str">
        <f>VLOOKUP(G377,ColorTable[],2,FALSE)</f>
        <v>192</v>
      </c>
      <c r="I377" s="52" t="str">
        <f>VLOOKUP(G377,ColorTable[],3,FALSE)</f>
        <v>192</v>
      </c>
      <c r="J377" s="52" t="str">
        <f>VLOOKUP(G377,ColorTable[],4,FALSE)</f>
        <v>192</v>
      </c>
      <c r="K377" s="98"/>
      <c r="L377" s="47"/>
    </row>
    <row r="378" spans="1:12" x14ac:dyDescent="0.2">
      <c r="A378" s="46" t="s">
        <v>496</v>
      </c>
      <c r="B378" s="96" t="s">
        <v>354</v>
      </c>
      <c r="C378" s="96" t="s">
        <v>332</v>
      </c>
      <c r="D378" s="97" t="s">
        <v>553</v>
      </c>
      <c r="E378" s="96" t="s">
        <v>19</v>
      </c>
      <c r="F378" s="96" t="s">
        <v>379</v>
      </c>
      <c r="G378" s="47" t="s">
        <v>158</v>
      </c>
      <c r="H378" s="52" t="str">
        <f>VLOOKUP(G378,ColorTable[],2,FALSE)</f>
        <v>0</v>
      </c>
      <c r="I378" s="52" t="str">
        <f>VLOOKUP(G378,ColorTable[],3,FALSE)</f>
        <v>116</v>
      </c>
      <c r="J378" s="52" t="str">
        <f>VLOOKUP(G378,ColorTable[],4,FALSE)</f>
        <v>161</v>
      </c>
      <c r="K378" s="98"/>
      <c r="L378" s="47"/>
    </row>
    <row r="379" spans="1:12" x14ac:dyDescent="0.2">
      <c r="A379" s="46" t="s">
        <v>496</v>
      </c>
      <c r="B379" s="96" t="s">
        <v>354</v>
      </c>
      <c r="C379" s="96" t="s">
        <v>154</v>
      </c>
      <c r="D379" s="97" t="s">
        <v>554</v>
      </c>
      <c r="E379" s="96" t="s">
        <v>19</v>
      </c>
      <c r="F379" s="96" t="s">
        <v>379</v>
      </c>
      <c r="G379" s="47" t="s">
        <v>36</v>
      </c>
      <c r="H379" s="52" t="str">
        <f>VLOOKUP(G379,ColorTable[],2,FALSE)</f>
        <v>184</v>
      </c>
      <c r="I379" s="52" t="str">
        <f>VLOOKUP(G379,ColorTable[],3,FALSE)</f>
        <v>210</v>
      </c>
      <c r="J379" s="52" t="str">
        <f>VLOOKUP(G379,ColorTable[],4,FALSE)</f>
        <v>100</v>
      </c>
      <c r="K379" s="98"/>
      <c r="L379" s="47"/>
    </row>
    <row r="380" spans="1:12" x14ac:dyDescent="0.2">
      <c r="A380" s="46" t="s">
        <v>496</v>
      </c>
      <c r="B380" s="96" t="s">
        <v>354</v>
      </c>
      <c r="C380" s="96" t="s">
        <v>155</v>
      </c>
      <c r="D380" s="97" t="s">
        <v>555</v>
      </c>
      <c r="E380" s="96" t="s">
        <v>19</v>
      </c>
      <c r="F380" s="96" t="s">
        <v>379</v>
      </c>
      <c r="G380" s="47" t="s">
        <v>21</v>
      </c>
      <c r="H380" s="52" t="str">
        <f>VLOOKUP(G380,ColorTable[],2,FALSE)</f>
        <v>113</v>
      </c>
      <c r="I380" s="52" t="str">
        <f>VLOOKUP(G380,ColorTable[],3,FALSE)</f>
        <v>171</v>
      </c>
      <c r="J380" s="52" t="str">
        <f>VLOOKUP(G380,ColorTable[],4,FALSE)</f>
        <v>26</v>
      </c>
      <c r="K380" s="98"/>
      <c r="L380" s="47"/>
    </row>
    <row r="381" spans="1:12" x14ac:dyDescent="0.2">
      <c r="A381" s="46" t="s">
        <v>496</v>
      </c>
      <c r="B381" s="96" t="s">
        <v>354</v>
      </c>
      <c r="C381" s="96" t="s">
        <v>156</v>
      </c>
      <c r="D381" s="97" t="s">
        <v>556</v>
      </c>
      <c r="E381" s="96" t="s">
        <v>19</v>
      </c>
      <c r="F381" s="96" t="s">
        <v>379</v>
      </c>
      <c r="G381" s="47" t="s">
        <v>21</v>
      </c>
      <c r="H381" s="52" t="str">
        <f>VLOOKUP(G381,ColorTable[],2,FALSE)</f>
        <v>113</v>
      </c>
      <c r="I381" s="52" t="str">
        <f>VLOOKUP(G381,ColorTable[],3,FALSE)</f>
        <v>171</v>
      </c>
      <c r="J381" s="52" t="str">
        <f>VLOOKUP(G381,ColorTable[],4,FALSE)</f>
        <v>26</v>
      </c>
      <c r="K381" s="98"/>
      <c r="L381" s="47"/>
    </row>
    <row r="382" spans="1:12" x14ac:dyDescent="0.2">
      <c r="A382" s="46" t="s">
        <v>496</v>
      </c>
      <c r="B382" s="96" t="s">
        <v>355</v>
      </c>
      <c r="C382" s="96" t="s">
        <v>153</v>
      </c>
      <c r="D382" s="97" t="s">
        <v>557</v>
      </c>
      <c r="E382" s="96" t="s">
        <v>18</v>
      </c>
      <c r="F382" s="96" t="s">
        <v>380</v>
      </c>
      <c r="G382" s="47" t="s">
        <v>32</v>
      </c>
      <c r="H382" s="52" t="str">
        <f>VLOOKUP(G382,ColorTable[],2,FALSE)</f>
        <v>192</v>
      </c>
      <c r="I382" s="52" t="str">
        <f>VLOOKUP(G382,ColorTable[],3,FALSE)</f>
        <v>192</v>
      </c>
      <c r="J382" s="52" t="str">
        <f>VLOOKUP(G382,ColorTable[],4,FALSE)</f>
        <v>192</v>
      </c>
      <c r="K382" s="98"/>
      <c r="L382" s="47"/>
    </row>
    <row r="383" spans="1:12" x14ac:dyDescent="0.2">
      <c r="A383" s="46" t="s">
        <v>496</v>
      </c>
      <c r="B383" s="96" t="s">
        <v>355</v>
      </c>
      <c r="C383" s="96" t="s">
        <v>332</v>
      </c>
      <c r="D383" s="97" t="s">
        <v>558</v>
      </c>
      <c r="E383" s="96" t="s">
        <v>19</v>
      </c>
      <c r="F383" s="96" t="s">
        <v>380</v>
      </c>
      <c r="G383" s="47" t="s">
        <v>158</v>
      </c>
      <c r="H383" s="52" t="str">
        <f>VLOOKUP(G383,ColorTable[],2,FALSE)</f>
        <v>0</v>
      </c>
      <c r="I383" s="52" t="str">
        <f>VLOOKUP(G383,ColorTable[],3,FALSE)</f>
        <v>116</v>
      </c>
      <c r="J383" s="52" t="str">
        <f>VLOOKUP(G383,ColorTable[],4,FALSE)</f>
        <v>161</v>
      </c>
      <c r="K383" s="98"/>
      <c r="L383" s="47"/>
    </row>
    <row r="384" spans="1:12" x14ac:dyDescent="0.2">
      <c r="A384" s="46" t="s">
        <v>496</v>
      </c>
      <c r="B384" s="96" t="s">
        <v>355</v>
      </c>
      <c r="C384" s="96" t="s">
        <v>154</v>
      </c>
      <c r="D384" s="97" t="s">
        <v>559</v>
      </c>
      <c r="E384" s="96" t="s">
        <v>19</v>
      </c>
      <c r="F384" s="96" t="s">
        <v>380</v>
      </c>
      <c r="G384" s="47" t="s">
        <v>36</v>
      </c>
      <c r="H384" s="52" t="str">
        <f>VLOOKUP(G384,ColorTable[],2,FALSE)</f>
        <v>184</v>
      </c>
      <c r="I384" s="52" t="str">
        <f>VLOOKUP(G384,ColorTable[],3,FALSE)</f>
        <v>210</v>
      </c>
      <c r="J384" s="52" t="str">
        <f>VLOOKUP(G384,ColorTable[],4,FALSE)</f>
        <v>100</v>
      </c>
      <c r="K384" s="98"/>
      <c r="L384" s="47"/>
    </row>
    <row r="385" spans="1:12" x14ac:dyDescent="0.2">
      <c r="A385" s="46" t="s">
        <v>496</v>
      </c>
      <c r="B385" s="96" t="s">
        <v>355</v>
      </c>
      <c r="C385" s="96" t="s">
        <v>155</v>
      </c>
      <c r="D385" s="97" t="s">
        <v>560</v>
      </c>
      <c r="E385" s="96" t="s">
        <v>19</v>
      </c>
      <c r="F385" s="96" t="s">
        <v>380</v>
      </c>
      <c r="G385" s="47" t="s">
        <v>21</v>
      </c>
      <c r="H385" s="52" t="str">
        <f>VLOOKUP(G385,ColorTable[],2,FALSE)</f>
        <v>113</v>
      </c>
      <c r="I385" s="52" t="str">
        <f>VLOOKUP(G385,ColorTable[],3,FALSE)</f>
        <v>171</v>
      </c>
      <c r="J385" s="52" t="str">
        <f>VLOOKUP(G385,ColorTable[],4,FALSE)</f>
        <v>26</v>
      </c>
      <c r="K385" s="98"/>
      <c r="L385" s="47"/>
    </row>
    <row r="386" spans="1:12" x14ac:dyDescent="0.2">
      <c r="A386" s="46" t="s">
        <v>496</v>
      </c>
      <c r="B386" s="96" t="s">
        <v>355</v>
      </c>
      <c r="C386" s="96" t="s">
        <v>156</v>
      </c>
      <c r="D386" s="97" t="s">
        <v>561</v>
      </c>
      <c r="E386" s="96" t="s">
        <v>19</v>
      </c>
      <c r="F386" s="96" t="s">
        <v>380</v>
      </c>
      <c r="G386" s="47" t="s">
        <v>21</v>
      </c>
      <c r="H386" s="52" t="str">
        <f>VLOOKUP(G386,ColorTable[],2,FALSE)</f>
        <v>113</v>
      </c>
      <c r="I386" s="52" t="str">
        <f>VLOOKUP(G386,ColorTable[],3,FALSE)</f>
        <v>171</v>
      </c>
      <c r="J386" s="52" t="str">
        <f>VLOOKUP(G386,ColorTable[],4,FALSE)</f>
        <v>26</v>
      </c>
      <c r="K386" s="98"/>
      <c r="L386" s="47"/>
    </row>
    <row r="387" spans="1:12" x14ac:dyDescent="0.2">
      <c r="A387" s="46" t="s">
        <v>496</v>
      </c>
      <c r="B387" s="96" t="s">
        <v>361</v>
      </c>
      <c r="C387" s="96" t="s">
        <v>153</v>
      </c>
      <c r="D387" s="97" t="s">
        <v>562</v>
      </c>
      <c r="E387" s="96" t="s">
        <v>18</v>
      </c>
      <c r="F387" s="96" t="s">
        <v>384</v>
      </c>
      <c r="G387" s="47" t="s">
        <v>32</v>
      </c>
      <c r="H387" s="52" t="str">
        <f>VLOOKUP(G387,ColorTable[],2,FALSE)</f>
        <v>192</v>
      </c>
      <c r="I387" s="52" t="str">
        <f>VLOOKUP(G387,ColorTable[],3,FALSE)</f>
        <v>192</v>
      </c>
      <c r="J387" s="52" t="str">
        <f>VLOOKUP(G387,ColorTable[],4,FALSE)</f>
        <v>192</v>
      </c>
      <c r="K387" s="98"/>
      <c r="L387" s="47"/>
    </row>
    <row r="388" spans="1:12" x14ac:dyDescent="0.2">
      <c r="A388" s="46" t="s">
        <v>496</v>
      </c>
      <c r="B388" s="96" t="s">
        <v>361</v>
      </c>
      <c r="C388" s="96" t="s">
        <v>332</v>
      </c>
      <c r="D388" s="97" t="s">
        <v>563</v>
      </c>
      <c r="E388" s="96" t="s">
        <v>19</v>
      </c>
      <c r="F388" s="96" t="s">
        <v>384</v>
      </c>
      <c r="G388" s="47" t="s">
        <v>158</v>
      </c>
      <c r="H388" s="52" t="str">
        <f>VLOOKUP(G388,ColorTable[],2,FALSE)</f>
        <v>0</v>
      </c>
      <c r="I388" s="52" t="str">
        <f>VLOOKUP(G388,ColorTable[],3,FALSE)</f>
        <v>116</v>
      </c>
      <c r="J388" s="52" t="str">
        <f>VLOOKUP(G388,ColorTable[],4,FALSE)</f>
        <v>161</v>
      </c>
      <c r="K388" s="98"/>
      <c r="L388" s="47"/>
    </row>
    <row r="389" spans="1:12" x14ac:dyDescent="0.2">
      <c r="A389" s="46" t="s">
        <v>496</v>
      </c>
      <c r="B389" s="96" t="s">
        <v>361</v>
      </c>
      <c r="C389" s="96" t="s">
        <v>154</v>
      </c>
      <c r="D389" s="97" t="s">
        <v>564</v>
      </c>
      <c r="E389" s="96" t="s">
        <v>19</v>
      </c>
      <c r="F389" s="96" t="s">
        <v>384</v>
      </c>
      <c r="G389" s="47" t="s">
        <v>36</v>
      </c>
      <c r="H389" s="52" t="str">
        <f>VLOOKUP(G389,ColorTable[],2,FALSE)</f>
        <v>184</v>
      </c>
      <c r="I389" s="52" t="str">
        <f>VLOOKUP(G389,ColorTable[],3,FALSE)</f>
        <v>210</v>
      </c>
      <c r="J389" s="52" t="str">
        <f>VLOOKUP(G389,ColorTable[],4,FALSE)</f>
        <v>100</v>
      </c>
      <c r="K389" s="98"/>
      <c r="L389" s="47"/>
    </row>
    <row r="390" spans="1:12" x14ac:dyDescent="0.2">
      <c r="A390" s="46" t="s">
        <v>496</v>
      </c>
      <c r="B390" s="96" t="s">
        <v>361</v>
      </c>
      <c r="C390" s="96" t="s">
        <v>155</v>
      </c>
      <c r="D390" s="97" t="s">
        <v>565</v>
      </c>
      <c r="E390" s="96" t="s">
        <v>19</v>
      </c>
      <c r="F390" s="96" t="s">
        <v>384</v>
      </c>
      <c r="G390" s="47" t="s">
        <v>21</v>
      </c>
      <c r="H390" s="52" t="str">
        <f>VLOOKUP(G390,ColorTable[],2,FALSE)</f>
        <v>113</v>
      </c>
      <c r="I390" s="52" t="str">
        <f>VLOOKUP(G390,ColorTable[],3,FALSE)</f>
        <v>171</v>
      </c>
      <c r="J390" s="52" t="str">
        <f>VLOOKUP(G390,ColorTable[],4,FALSE)</f>
        <v>26</v>
      </c>
      <c r="K390" s="98"/>
      <c r="L390" s="47"/>
    </row>
    <row r="391" spans="1:12" x14ac:dyDescent="0.2">
      <c r="A391" s="46" t="s">
        <v>496</v>
      </c>
      <c r="B391" s="96" t="s">
        <v>361</v>
      </c>
      <c r="C391" s="96" t="s">
        <v>156</v>
      </c>
      <c r="D391" s="97" t="s">
        <v>566</v>
      </c>
      <c r="E391" s="96" t="s">
        <v>19</v>
      </c>
      <c r="F391" s="96" t="s">
        <v>384</v>
      </c>
      <c r="G391" s="47" t="s">
        <v>21</v>
      </c>
      <c r="H391" s="52" t="str">
        <f>VLOOKUP(G391,ColorTable[],2,FALSE)</f>
        <v>113</v>
      </c>
      <c r="I391" s="52" t="str">
        <f>VLOOKUP(G391,ColorTable[],3,FALSE)</f>
        <v>171</v>
      </c>
      <c r="J391" s="52" t="str">
        <f>VLOOKUP(G391,ColorTable[],4,FALSE)</f>
        <v>26</v>
      </c>
      <c r="K391" s="98"/>
      <c r="L391" s="47"/>
    </row>
    <row r="392" spans="1:12" x14ac:dyDescent="0.2">
      <c r="A392" s="46" t="s">
        <v>496</v>
      </c>
      <c r="B392" s="96" t="s">
        <v>362</v>
      </c>
      <c r="C392" s="96" t="s">
        <v>153</v>
      </c>
      <c r="D392" s="97" t="s">
        <v>567</v>
      </c>
      <c r="E392" s="96" t="s">
        <v>18</v>
      </c>
      <c r="F392" s="96" t="s">
        <v>385</v>
      </c>
      <c r="G392" s="47" t="s">
        <v>32</v>
      </c>
      <c r="H392" s="52" t="str">
        <f>VLOOKUP(G392,ColorTable[],2,FALSE)</f>
        <v>192</v>
      </c>
      <c r="I392" s="52" t="str">
        <f>VLOOKUP(G392,ColorTable[],3,FALSE)</f>
        <v>192</v>
      </c>
      <c r="J392" s="52" t="str">
        <f>VLOOKUP(G392,ColorTable[],4,FALSE)</f>
        <v>192</v>
      </c>
      <c r="K392" s="98"/>
      <c r="L392" s="47"/>
    </row>
    <row r="393" spans="1:12" x14ac:dyDescent="0.2">
      <c r="A393" s="46" t="s">
        <v>496</v>
      </c>
      <c r="B393" s="96" t="s">
        <v>362</v>
      </c>
      <c r="C393" s="96" t="s">
        <v>332</v>
      </c>
      <c r="D393" s="97" t="s">
        <v>568</v>
      </c>
      <c r="E393" s="96" t="s">
        <v>19</v>
      </c>
      <c r="F393" s="96" t="s">
        <v>385</v>
      </c>
      <c r="G393" s="47" t="s">
        <v>158</v>
      </c>
      <c r="H393" s="52" t="str">
        <f>VLOOKUP(G393,ColorTable[],2,FALSE)</f>
        <v>0</v>
      </c>
      <c r="I393" s="52" t="str">
        <f>VLOOKUP(G393,ColorTable[],3,FALSE)</f>
        <v>116</v>
      </c>
      <c r="J393" s="52" t="str">
        <f>VLOOKUP(G393,ColorTable[],4,FALSE)</f>
        <v>161</v>
      </c>
      <c r="K393" s="98"/>
      <c r="L393" s="47"/>
    </row>
    <row r="394" spans="1:12" x14ac:dyDescent="0.2">
      <c r="A394" s="46" t="s">
        <v>496</v>
      </c>
      <c r="B394" s="96" t="s">
        <v>362</v>
      </c>
      <c r="C394" s="96" t="s">
        <v>154</v>
      </c>
      <c r="D394" s="97" t="s">
        <v>569</v>
      </c>
      <c r="E394" s="96" t="s">
        <v>19</v>
      </c>
      <c r="F394" s="96" t="s">
        <v>385</v>
      </c>
      <c r="G394" s="47" t="s">
        <v>36</v>
      </c>
      <c r="H394" s="52" t="str">
        <f>VLOOKUP(G394,ColorTable[],2,FALSE)</f>
        <v>184</v>
      </c>
      <c r="I394" s="52" t="str">
        <f>VLOOKUP(G394,ColorTable[],3,FALSE)</f>
        <v>210</v>
      </c>
      <c r="J394" s="52" t="str">
        <f>VLOOKUP(G394,ColorTable[],4,FALSE)</f>
        <v>100</v>
      </c>
      <c r="K394" s="98"/>
      <c r="L394" s="47"/>
    </row>
    <row r="395" spans="1:12" x14ac:dyDescent="0.2">
      <c r="A395" s="46" t="s">
        <v>496</v>
      </c>
      <c r="B395" s="96" t="s">
        <v>362</v>
      </c>
      <c r="C395" s="96" t="s">
        <v>155</v>
      </c>
      <c r="D395" s="97" t="s">
        <v>570</v>
      </c>
      <c r="E395" s="96" t="s">
        <v>19</v>
      </c>
      <c r="F395" s="96" t="s">
        <v>385</v>
      </c>
      <c r="G395" s="47" t="s">
        <v>21</v>
      </c>
      <c r="H395" s="52" t="str">
        <f>VLOOKUP(G395,ColorTable[],2,FALSE)</f>
        <v>113</v>
      </c>
      <c r="I395" s="52" t="str">
        <f>VLOOKUP(G395,ColorTable[],3,FALSE)</f>
        <v>171</v>
      </c>
      <c r="J395" s="52" t="str">
        <f>VLOOKUP(G395,ColorTable[],4,FALSE)</f>
        <v>26</v>
      </c>
      <c r="K395" s="98"/>
      <c r="L395" s="47"/>
    </row>
    <row r="396" spans="1:12" x14ac:dyDescent="0.2">
      <c r="A396" s="46" t="s">
        <v>496</v>
      </c>
      <c r="B396" s="96" t="s">
        <v>362</v>
      </c>
      <c r="C396" s="96" t="s">
        <v>156</v>
      </c>
      <c r="D396" s="97" t="s">
        <v>571</v>
      </c>
      <c r="E396" s="96" t="s">
        <v>19</v>
      </c>
      <c r="F396" s="96" t="s">
        <v>385</v>
      </c>
      <c r="G396" s="47" t="s">
        <v>21</v>
      </c>
      <c r="H396" s="52" t="str">
        <f>VLOOKUP(G396,ColorTable[],2,FALSE)</f>
        <v>113</v>
      </c>
      <c r="I396" s="52" t="str">
        <f>VLOOKUP(G396,ColorTable[],3,FALSE)</f>
        <v>171</v>
      </c>
      <c r="J396" s="52" t="str">
        <f>VLOOKUP(G396,ColorTable[],4,FALSE)</f>
        <v>26</v>
      </c>
      <c r="K396" s="98"/>
      <c r="L396" s="47"/>
    </row>
    <row r="397" spans="1:12" x14ac:dyDescent="0.2">
      <c r="A397" s="46" t="s">
        <v>496</v>
      </c>
      <c r="B397" s="96" t="s">
        <v>363</v>
      </c>
      <c r="C397" s="96" t="s">
        <v>153</v>
      </c>
      <c r="D397" s="97" t="s">
        <v>572</v>
      </c>
      <c r="E397" s="96" t="s">
        <v>18</v>
      </c>
      <c r="F397" s="96" t="s">
        <v>386</v>
      </c>
      <c r="G397" s="47" t="s">
        <v>32</v>
      </c>
      <c r="H397" s="52" t="str">
        <f>VLOOKUP(G397,ColorTable[],2,FALSE)</f>
        <v>192</v>
      </c>
      <c r="I397" s="52" t="str">
        <f>VLOOKUP(G397,ColorTable[],3,FALSE)</f>
        <v>192</v>
      </c>
      <c r="J397" s="52" t="str">
        <f>VLOOKUP(G397,ColorTable[],4,FALSE)</f>
        <v>192</v>
      </c>
      <c r="K397" s="98"/>
      <c r="L397" s="47"/>
    </row>
    <row r="398" spans="1:12" x14ac:dyDescent="0.2">
      <c r="A398" s="46" t="s">
        <v>496</v>
      </c>
      <c r="B398" s="96" t="s">
        <v>363</v>
      </c>
      <c r="C398" s="96" t="s">
        <v>332</v>
      </c>
      <c r="D398" s="97" t="s">
        <v>573</v>
      </c>
      <c r="E398" s="96" t="s">
        <v>19</v>
      </c>
      <c r="F398" s="96" t="s">
        <v>386</v>
      </c>
      <c r="G398" s="47" t="s">
        <v>158</v>
      </c>
      <c r="H398" s="52" t="str">
        <f>VLOOKUP(G398,ColorTable[],2,FALSE)</f>
        <v>0</v>
      </c>
      <c r="I398" s="52" t="str">
        <f>VLOOKUP(G398,ColorTable[],3,FALSE)</f>
        <v>116</v>
      </c>
      <c r="J398" s="52" t="str">
        <f>VLOOKUP(G398,ColorTable[],4,FALSE)</f>
        <v>161</v>
      </c>
      <c r="K398" s="98"/>
      <c r="L398" s="47"/>
    </row>
    <row r="399" spans="1:12" x14ac:dyDescent="0.2">
      <c r="A399" s="46" t="s">
        <v>496</v>
      </c>
      <c r="B399" s="96" t="s">
        <v>363</v>
      </c>
      <c r="C399" s="96" t="s">
        <v>154</v>
      </c>
      <c r="D399" s="97" t="s">
        <v>574</v>
      </c>
      <c r="E399" s="96" t="s">
        <v>19</v>
      </c>
      <c r="F399" s="96" t="s">
        <v>386</v>
      </c>
      <c r="G399" s="47" t="s">
        <v>36</v>
      </c>
      <c r="H399" s="52" t="str">
        <f>VLOOKUP(G399,ColorTable[],2,FALSE)</f>
        <v>184</v>
      </c>
      <c r="I399" s="52" t="str">
        <f>VLOOKUP(G399,ColorTable[],3,FALSE)</f>
        <v>210</v>
      </c>
      <c r="J399" s="52" t="str">
        <f>VLOOKUP(G399,ColorTable[],4,FALSE)</f>
        <v>100</v>
      </c>
      <c r="K399" s="98"/>
      <c r="L399" s="47"/>
    </row>
    <row r="400" spans="1:12" x14ac:dyDescent="0.2">
      <c r="A400" s="46" t="s">
        <v>496</v>
      </c>
      <c r="B400" s="96" t="s">
        <v>363</v>
      </c>
      <c r="C400" s="96" t="s">
        <v>155</v>
      </c>
      <c r="D400" s="97" t="s">
        <v>575</v>
      </c>
      <c r="E400" s="96" t="s">
        <v>19</v>
      </c>
      <c r="F400" s="96" t="s">
        <v>386</v>
      </c>
      <c r="G400" s="47" t="s">
        <v>21</v>
      </c>
      <c r="H400" s="52" t="str">
        <f>VLOOKUP(G400,ColorTable[],2,FALSE)</f>
        <v>113</v>
      </c>
      <c r="I400" s="52" t="str">
        <f>VLOOKUP(G400,ColorTable[],3,FALSE)</f>
        <v>171</v>
      </c>
      <c r="J400" s="52" t="str">
        <f>VLOOKUP(G400,ColorTable[],4,FALSE)</f>
        <v>26</v>
      </c>
      <c r="K400" s="98"/>
      <c r="L400" s="47"/>
    </row>
    <row r="401" spans="1:12" ht="13.5" thickBot="1" x14ac:dyDescent="0.25">
      <c r="A401" s="78" t="s">
        <v>496</v>
      </c>
      <c r="B401" s="79" t="s">
        <v>363</v>
      </c>
      <c r="C401" s="79" t="s">
        <v>156</v>
      </c>
      <c r="D401" s="80" t="s">
        <v>576</v>
      </c>
      <c r="E401" s="79" t="s">
        <v>19</v>
      </c>
      <c r="F401" s="79" t="s">
        <v>386</v>
      </c>
      <c r="G401" s="81" t="s">
        <v>21</v>
      </c>
      <c r="H401" s="77" t="str">
        <f>VLOOKUP(G401,ColorTable[],2,FALSE)</f>
        <v>113</v>
      </c>
      <c r="I401" s="77" t="str">
        <f>VLOOKUP(G401,ColorTable[],3,FALSE)</f>
        <v>171</v>
      </c>
      <c r="J401" s="77" t="str">
        <f>VLOOKUP(G401,ColorTable[],4,FALSE)</f>
        <v>26</v>
      </c>
      <c r="K401" s="82"/>
      <c r="L401" s="81"/>
    </row>
    <row r="402" spans="1:12" ht="13.5" thickTop="1" x14ac:dyDescent="0.2"/>
  </sheetData>
  <dataConsolidate function="product">
    <dataRefs count="2">
      <dataRef name="AAAA"/>
      <dataRef name="BBBB"/>
    </dataRefs>
  </dataConsolidate>
  <conditionalFormatting sqref="E1:E1048576">
    <cfRule type="cellIs" dxfId="7" priority="1" operator="equal">
      <formula>"Active"</formula>
    </cfRule>
    <cfRule type="cellIs" dxfId="6" priority="2" operator="equal">
      <formula>"Inactive"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_Tracking_Reset">
                <anchor moveWithCells="1" sizeWithCells="1">
                  <from>
                    <xdr:col>12</xdr:col>
                    <xdr:colOff>200025</xdr:colOff>
                    <xdr:row>0</xdr:row>
                    <xdr:rowOff>152400</xdr:rowOff>
                  </from>
                  <to>
                    <xdr:col>13</xdr:col>
                    <xdr:colOff>628650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1:U125"/>
  <sheetViews>
    <sheetView workbookViewId="0">
      <selection activeCell="B80" sqref="B80"/>
    </sheetView>
  </sheetViews>
  <sheetFormatPr defaultRowHeight="12.75" x14ac:dyDescent="0.2"/>
  <cols>
    <col min="1" max="1" width="10.28515625" style="3" customWidth="1"/>
    <col min="2" max="2" width="51.5703125" bestFit="1" customWidth="1"/>
    <col min="3" max="4" width="18.140625" customWidth="1"/>
    <col min="5" max="5" width="18.140625" bestFit="1" customWidth="1"/>
    <col min="6" max="7" width="18.140625" customWidth="1"/>
    <col min="8" max="8" width="11.7109375" customWidth="1"/>
    <col min="9" max="10" width="18.140625" customWidth="1"/>
    <col min="11" max="11" width="11.7109375" customWidth="1"/>
    <col min="12" max="12" width="16.140625" customWidth="1"/>
    <col min="13" max="19" width="18.140625" customWidth="1"/>
    <col min="20" max="21" width="11.7109375" customWidth="1"/>
    <col min="22" max="22" width="14.140625" customWidth="1"/>
    <col min="23" max="31" width="34.5703125" customWidth="1"/>
    <col min="32" max="32" width="17.7109375" customWidth="1"/>
    <col min="33" max="33" width="11.7109375" customWidth="1"/>
    <col min="34" max="37" width="34.5703125" customWidth="1"/>
    <col min="38" max="38" width="20.140625" customWidth="1"/>
    <col min="39" max="39" width="20.28515625" customWidth="1"/>
    <col min="40" max="40" width="34.5703125" bestFit="1" customWidth="1"/>
    <col min="41" max="41" width="34.5703125" customWidth="1"/>
    <col min="42" max="57" width="34.5703125" bestFit="1" customWidth="1"/>
    <col min="58" max="58" width="23.42578125" bestFit="1" customWidth="1"/>
    <col min="59" max="59" width="12.5703125" bestFit="1" customWidth="1"/>
    <col min="60" max="60" width="15.85546875" bestFit="1" customWidth="1"/>
    <col min="61" max="69" width="29.28515625" bestFit="1" customWidth="1"/>
    <col min="70" max="70" width="16.28515625" bestFit="1" customWidth="1"/>
    <col min="71" max="79" width="34.5703125" bestFit="1" customWidth="1"/>
    <col min="80" max="80" width="14.140625" bestFit="1" customWidth="1"/>
    <col min="81" max="97" width="34.5703125" bestFit="1" customWidth="1"/>
    <col min="98" max="98" width="17.7109375" bestFit="1" customWidth="1"/>
    <col min="99" max="99" width="11.7109375" bestFit="1" customWidth="1"/>
  </cols>
  <sheetData>
    <row r="1" spans="2:21" s="3" customFormat="1" x14ac:dyDescent="0.2"/>
    <row r="3" spans="2:21" x14ac:dyDescent="0.2">
      <c r="B3" s="20" t="s">
        <v>2</v>
      </c>
      <c r="C3" s="3" t="s">
        <v>18</v>
      </c>
      <c r="L3" s="3"/>
      <c r="M3" s="3"/>
      <c r="N3" s="3"/>
      <c r="O3" s="3"/>
      <c r="P3" s="3"/>
      <c r="Q3" s="3"/>
      <c r="R3" s="3"/>
      <c r="S3" s="3"/>
      <c r="T3" s="3"/>
      <c r="U3" s="3"/>
    </row>
    <row r="4" spans="2:21" x14ac:dyDescent="0.2">
      <c r="L4" s="3"/>
      <c r="M4" s="3"/>
      <c r="N4" s="3"/>
      <c r="O4" s="3"/>
      <c r="P4" s="3"/>
      <c r="Q4" s="3"/>
      <c r="R4" s="3"/>
      <c r="S4" s="3"/>
      <c r="T4" s="3"/>
      <c r="U4" s="3"/>
    </row>
    <row r="5" spans="2:21" x14ac:dyDescent="0.2">
      <c r="B5" s="20" t="s">
        <v>330</v>
      </c>
      <c r="C5" s="20" t="s">
        <v>41</v>
      </c>
      <c r="L5" s="3"/>
      <c r="M5" s="3"/>
    </row>
    <row r="6" spans="2:21" x14ac:dyDescent="0.2">
      <c r="B6" s="20" t="s">
        <v>323</v>
      </c>
      <c r="C6" s="3" t="s">
        <v>156</v>
      </c>
      <c r="D6" s="3" t="s">
        <v>155</v>
      </c>
      <c r="E6" s="3" t="s">
        <v>154</v>
      </c>
      <c r="F6" s="3" t="s">
        <v>332</v>
      </c>
      <c r="G6" s="3" t="s">
        <v>153</v>
      </c>
      <c r="H6" s="3" t="s">
        <v>305</v>
      </c>
      <c r="L6" s="3"/>
      <c r="M6" s="3"/>
      <c r="N6" s="3"/>
      <c r="O6" s="3"/>
      <c r="P6" s="3"/>
      <c r="Q6" s="3"/>
      <c r="R6" s="3"/>
      <c r="S6" s="3"/>
      <c r="T6" s="3"/>
    </row>
    <row r="7" spans="2:21" x14ac:dyDescent="0.2">
      <c r="B7" s="3" t="s">
        <v>348</v>
      </c>
      <c r="C7" s="21">
        <v>0</v>
      </c>
      <c r="D7" s="21">
        <v>0</v>
      </c>
      <c r="E7" s="21">
        <v>0</v>
      </c>
      <c r="F7" s="21">
        <v>0</v>
      </c>
      <c r="G7" s="21">
        <v>5</v>
      </c>
      <c r="H7" s="21">
        <v>5</v>
      </c>
      <c r="L7" s="3"/>
      <c r="M7" s="21"/>
      <c r="N7" s="21"/>
      <c r="O7" s="21"/>
      <c r="P7" s="21"/>
      <c r="Q7" s="21"/>
      <c r="R7" s="21"/>
      <c r="S7" s="21"/>
      <c r="T7" s="21"/>
    </row>
    <row r="8" spans="2:21" x14ac:dyDescent="0.2">
      <c r="B8" s="3" t="s">
        <v>349</v>
      </c>
      <c r="C8" s="21">
        <v>0</v>
      </c>
      <c r="D8" s="21">
        <v>0</v>
      </c>
      <c r="E8" s="21">
        <v>0</v>
      </c>
      <c r="F8" s="21">
        <v>0</v>
      </c>
      <c r="G8" s="21">
        <v>5</v>
      </c>
      <c r="H8" s="21">
        <v>5</v>
      </c>
      <c r="L8" s="3"/>
      <c r="M8" s="21"/>
      <c r="N8" s="21"/>
      <c r="O8" s="21"/>
      <c r="P8" s="21"/>
      <c r="Q8" s="21"/>
      <c r="R8" s="21"/>
      <c r="S8" s="21"/>
      <c r="T8" s="21"/>
    </row>
    <row r="9" spans="2:21" x14ac:dyDescent="0.2">
      <c r="B9" s="3" t="s">
        <v>350</v>
      </c>
      <c r="C9" s="21">
        <v>0</v>
      </c>
      <c r="D9" s="21">
        <v>0</v>
      </c>
      <c r="E9" s="21">
        <v>0</v>
      </c>
      <c r="F9" s="21">
        <v>0</v>
      </c>
      <c r="G9" s="21">
        <v>5</v>
      </c>
      <c r="H9" s="21">
        <v>5</v>
      </c>
      <c r="L9" s="3"/>
      <c r="M9" s="21"/>
      <c r="N9" s="21"/>
      <c r="O9" s="21"/>
      <c r="P9" s="21"/>
      <c r="Q9" s="21"/>
      <c r="R9" s="21"/>
      <c r="S9" s="21"/>
      <c r="T9" s="21"/>
    </row>
    <row r="10" spans="2:21" x14ac:dyDescent="0.2">
      <c r="B10" s="3" t="s">
        <v>351</v>
      </c>
      <c r="C10" s="21">
        <v>0</v>
      </c>
      <c r="D10" s="21">
        <v>0</v>
      </c>
      <c r="E10" s="21">
        <v>0</v>
      </c>
      <c r="F10" s="21">
        <v>0</v>
      </c>
      <c r="G10" s="21">
        <v>5</v>
      </c>
      <c r="H10" s="21">
        <v>5</v>
      </c>
      <c r="L10" s="3"/>
      <c r="M10" s="21"/>
      <c r="N10" s="21"/>
      <c r="O10" s="21"/>
      <c r="P10" s="21"/>
      <c r="Q10" s="21"/>
      <c r="R10" s="21"/>
      <c r="S10" s="21"/>
      <c r="T10" s="21"/>
    </row>
    <row r="11" spans="2:21" x14ac:dyDescent="0.2">
      <c r="B11" s="3" t="s">
        <v>352</v>
      </c>
      <c r="C11" s="21">
        <v>0</v>
      </c>
      <c r="D11" s="21">
        <v>0</v>
      </c>
      <c r="E11" s="21">
        <v>0</v>
      </c>
      <c r="F11" s="21">
        <v>0</v>
      </c>
      <c r="G11" s="21">
        <v>5</v>
      </c>
      <c r="H11" s="21">
        <v>5</v>
      </c>
      <c r="L11" s="3"/>
      <c r="M11" s="21"/>
      <c r="N11" s="21"/>
      <c r="O11" s="21"/>
      <c r="P11" s="21"/>
      <c r="Q11" s="21"/>
      <c r="R11" s="21"/>
      <c r="S11" s="21"/>
      <c r="T11" s="21"/>
    </row>
    <row r="12" spans="2:21" x14ac:dyDescent="0.2">
      <c r="B12" s="3" t="s">
        <v>353</v>
      </c>
      <c r="C12" s="21">
        <v>0</v>
      </c>
      <c r="D12" s="21">
        <v>0</v>
      </c>
      <c r="E12" s="21">
        <v>0</v>
      </c>
      <c r="F12" s="21">
        <v>0</v>
      </c>
      <c r="G12" s="21">
        <v>5</v>
      </c>
      <c r="H12" s="21">
        <v>5</v>
      </c>
      <c r="L12" s="3"/>
      <c r="M12" s="21"/>
      <c r="N12" s="21"/>
      <c r="O12" s="21"/>
      <c r="P12" s="21"/>
      <c r="Q12" s="21"/>
      <c r="R12" s="21"/>
      <c r="S12" s="21"/>
      <c r="T12" s="21"/>
    </row>
    <row r="13" spans="2:21" x14ac:dyDescent="0.2">
      <c r="B13" s="3" t="s">
        <v>354</v>
      </c>
      <c r="C13" s="21">
        <v>0</v>
      </c>
      <c r="D13" s="21">
        <v>0</v>
      </c>
      <c r="E13" s="21">
        <v>0</v>
      </c>
      <c r="F13" s="21">
        <v>0</v>
      </c>
      <c r="G13" s="21">
        <v>5</v>
      </c>
      <c r="H13" s="21">
        <v>5</v>
      </c>
      <c r="L13" s="3"/>
      <c r="M13" s="21"/>
      <c r="N13" s="21"/>
      <c r="O13" s="21"/>
      <c r="P13" s="21"/>
      <c r="Q13" s="21"/>
      <c r="R13" s="21"/>
      <c r="S13" s="21"/>
      <c r="T13" s="21"/>
    </row>
    <row r="14" spans="2:21" x14ac:dyDescent="0.2">
      <c r="B14" s="3" t="s">
        <v>355</v>
      </c>
      <c r="C14" s="21">
        <v>0</v>
      </c>
      <c r="D14" s="21">
        <v>0</v>
      </c>
      <c r="E14" s="21">
        <v>0</v>
      </c>
      <c r="F14" s="21">
        <v>0</v>
      </c>
      <c r="G14" s="21">
        <v>5</v>
      </c>
      <c r="H14" s="21">
        <v>5</v>
      </c>
      <c r="L14" s="3"/>
      <c r="M14" s="21"/>
      <c r="N14" s="21"/>
      <c r="O14" s="21"/>
      <c r="P14" s="21"/>
      <c r="Q14" s="21"/>
      <c r="R14" s="21"/>
      <c r="S14" s="21"/>
      <c r="T14" s="21"/>
    </row>
    <row r="15" spans="2:21" x14ac:dyDescent="0.2">
      <c r="B15" s="3" t="s">
        <v>357</v>
      </c>
      <c r="C15" s="21">
        <v>0</v>
      </c>
      <c r="D15" s="21">
        <v>0</v>
      </c>
      <c r="E15" s="21">
        <v>0</v>
      </c>
      <c r="F15" s="21">
        <v>0</v>
      </c>
      <c r="G15" s="21">
        <v>5</v>
      </c>
      <c r="H15" s="21">
        <v>5</v>
      </c>
      <c r="L15" s="3"/>
      <c r="M15" s="21"/>
      <c r="N15" s="21"/>
      <c r="O15" s="21"/>
      <c r="P15" s="21"/>
      <c r="Q15" s="21"/>
      <c r="R15" s="21"/>
      <c r="S15" s="21"/>
      <c r="T15" s="21"/>
    </row>
    <row r="16" spans="2:21" x14ac:dyDescent="0.2">
      <c r="B16" s="3" t="s">
        <v>358</v>
      </c>
      <c r="C16" s="21">
        <v>0</v>
      </c>
      <c r="D16" s="21">
        <v>0</v>
      </c>
      <c r="E16" s="21">
        <v>0</v>
      </c>
      <c r="F16" s="21">
        <v>0</v>
      </c>
      <c r="G16" s="21">
        <v>5</v>
      </c>
      <c r="H16" s="21">
        <v>5</v>
      </c>
      <c r="L16" s="3"/>
      <c r="M16" s="21"/>
      <c r="N16" s="21"/>
      <c r="O16" s="21"/>
      <c r="P16" s="21"/>
      <c r="Q16" s="21"/>
      <c r="R16" s="21"/>
      <c r="S16" s="21"/>
      <c r="T16" s="21"/>
    </row>
    <row r="17" spans="2:21" x14ac:dyDescent="0.2">
      <c r="B17" s="3" t="s">
        <v>359</v>
      </c>
      <c r="C17" s="21">
        <v>0</v>
      </c>
      <c r="D17" s="21">
        <v>0</v>
      </c>
      <c r="E17" s="21">
        <v>0</v>
      </c>
      <c r="F17" s="21">
        <v>0</v>
      </c>
      <c r="G17" s="21">
        <v>5</v>
      </c>
      <c r="H17" s="21">
        <v>5</v>
      </c>
      <c r="L17" s="3"/>
      <c r="M17" s="21"/>
      <c r="N17" s="21"/>
      <c r="O17" s="21"/>
      <c r="P17" s="21"/>
      <c r="Q17" s="21"/>
      <c r="R17" s="21"/>
      <c r="S17" s="21"/>
      <c r="T17" s="21"/>
    </row>
    <row r="18" spans="2:21" x14ac:dyDescent="0.2">
      <c r="B18" s="3" t="s">
        <v>360</v>
      </c>
      <c r="C18" s="21">
        <v>0</v>
      </c>
      <c r="D18" s="21">
        <v>0</v>
      </c>
      <c r="E18" s="21">
        <v>0</v>
      </c>
      <c r="F18" s="21">
        <v>0</v>
      </c>
      <c r="G18" s="21">
        <v>5</v>
      </c>
      <c r="H18" s="21">
        <v>5</v>
      </c>
      <c r="L18" s="3"/>
      <c r="M18" s="21"/>
      <c r="N18" s="21"/>
      <c r="O18" s="21"/>
      <c r="P18" s="21"/>
      <c r="Q18" s="21"/>
      <c r="R18" s="21"/>
      <c r="S18" s="21"/>
      <c r="T18" s="21"/>
    </row>
    <row r="19" spans="2:21" x14ac:dyDescent="0.2">
      <c r="B19" s="3" t="s">
        <v>361</v>
      </c>
      <c r="C19" s="21">
        <v>0</v>
      </c>
      <c r="D19" s="21">
        <v>0</v>
      </c>
      <c r="E19" s="21">
        <v>0</v>
      </c>
      <c r="F19" s="21">
        <v>0</v>
      </c>
      <c r="G19" s="21">
        <v>5</v>
      </c>
      <c r="H19" s="21">
        <v>5</v>
      </c>
      <c r="L19" s="3"/>
      <c r="M19" s="21"/>
      <c r="N19" s="21"/>
      <c r="O19" s="21"/>
      <c r="P19" s="21"/>
      <c r="Q19" s="21"/>
      <c r="R19" s="21"/>
      <c r="S19" s="21"/>
      <c r="T19" s="21"/>
    </row>
    <row r="20" spans="2:21" x14ac:dyDescent="0.2">
      <c r="B20" s="3" t="s">
        <v>362</v>
      </c>
      <c r="C20" s="21">
        <v>0</v>
      </c>
      <c r="D20" s="21">
        <v>0</v>
      </c>
      <c r="E20" s="21">
        <v>0</v>
      </c>
      <c r="F20" s="21">
        <v>0</v>
      </c>
      <c r="G20" s="21">
        <v>5</v>
      </c>
      <c r="H20" s="21">
        <v>5</v>
      </c>
      <c r="L20" s="3"/>
      <c r="M20" s="21"/>
      <c r="N20" s="21"/>
      <c r="O20" s="21"/>
      <c r="P20" s="21"/>
      <c r="Q20" s="21"/>
      <c r="R20" s="21"/>
      <c r="S20" s="21"/>
      <c r="T20" s="21"/>
    </row>
    <row r="21" spans="2:21" x14ac:dyDescent="0.2">
      <c r="B21" s="3" t="s">
        <v>363</v>
      </c>
      <c r="C21" s="21">
        <v>0</v>
      </c>
      <c r="D21" s="21">
        <v>0</v>
      </c>
      <c r="E21" s="21">
        <v>0</v>
      </c>
      <c r="F21" s="21">
        <v>0</v>
      </c>
      <c r="G21" s="21">
        <v>5</v>
      </c>
      <c r="H21" s="21">
        <v>5</v>
      </c>
      <c r="L21" s="3"/>
      <c r="M21" s="21"/>
      <c r="N21" s="21"/>
      <c r="O21" s="21"/>
      <c r="P21" s="21"/>
      <c r="Q21" s="21"/>
      <c r="R21" s="21"/>
      <c r="S21" s="21"/>
      <c r="T21" s="21"/>
    </row>
    <row r="22" spans="2:21" x14ac:dyDescent="0.2">
      <c r="B22" s="3" t="s">
        <v>364</v>
      </c>
      <c r="C22" s="21">
        <v>0</v>
      </c>
      <c r="D22" s="21">
        <v>0</v>
      </c>
      <c r="E22" s="21">
        <v>0</v>
      </c>
      <c r="F22" s="21">
        <v>0</v>
      </c>
      <c r="G22" s="21">
        <v>5</v>
      </c>
      <c r="H22" s="21">
        <v>5</v>
      </c>
      <c r="L22" s="3"/>
      <c r="M22" s="21"/>
      <c r="N22" s="21"/>
      <c r="O22" s="21"/>
      <c r="P22" s="21"/>
      <c r="Q22" s="21"/>
      <c r="R22" s="21"/>
      <c r="S22" s="21"/>
      <c r="T22" s="21"/>
    </row>
    <row r="23" spans="2:21" x14ac:dyDescent="0.2">
      <c r="B23" s="3" t="s">
        <v>305</v>
      </c>
      <c r="C23" s="21">
        <v>0</v>
      </c>
      <c r="D23" s="21">
        <v>0</v>
      </c>
      <c r="E23" s="21">
        <v>0</v>
      </c>
      <c r="F23" s="21">
        <v>0</v>
      </c>
      <c r="G23" s="21">
        <v>80</v>
      </c>
      <c r="H23" s="21">
        <v>80</v>
      </c>
      <c r="L23" s="3"/>
      <c r="M23" s="21"/>
      <c r="N23" s="21"/>
      <c r="O23" s="21"/>
      <c r="P23" s="21"/>
      <c r="Q23" s="21"/>
      <c r="R23" s="21"/>
      <c r="S23" s="21"/>
      <c r="T23" s="21"/>
    </row>
    <row r="24" spans="2:21" x14ac:dyDescent="0.2">
      <c r="L24" s="3"/>
      <c r="M24" s="21"/>
      <c r="N24" s="21"/>
      <c r="O24" s="21"/>
      <c r="P24" s="21"/>
      <c r="Q24" s="21"/>
      <c r="R24" s="21"/>
      <c r="S24" s="21"/>
      <c r="T24" s="21"/>
    </row>
    <row r="25" spans="2:21" x14ac:dyDescent="0.2">
      <c r="L25" s="3"/>
      <c r="M25" s="21"/>
      <c r="N25" s="21"/>
      <c r="O25" s="21"/>
      <c r="P25" s="21"/>
      <c r="Q25" s="21"/>
      <c r="R25" s="21"/>
      <c r="S25" s="21"/>
      <c r="T25" s="21"/>
    </row>
    <row r="26" spans="2:21" x14ac:dyDescent="0.2">
      <c r="L26" s="3"/>
      <c r="M26" s="21"/>
      <c r="N26" s="21"/>
      <c r="O26" s="21"/>
      <c r="P26" s="21"/>
      <c r="Q26" s="21"/>
      <c r="R26" s="21"/>
      <c r="S26" s="21"/>
      <c r="T26" s="21"/>
    </row>
    <row r="28" spans="2:21" s="3" customFormat="1" x14ac:dyDescent="0.2"/>
    <row r="29" spans="2:21" s="3" customFormat="1" x14ac:dyDescent="0.2">
      <c r="B29" s="20" t="s">
        <v>2</v>
      </c>
      <c r="C29" s="3" t="s">
        <v>18</v>
      </c>
    </row>
    <row r="30" spans="2:21" s="3" customFormat="1" x14ac:dyDescent="0.2"/>
    <row r="31" spans="2:21" s="3" customFormat="1" x14ac:dyDescent="0.2">
      <c r="B31" s="20" t="s">
        <v>330</v>
      </c>
      <c r="C31" s="20" t="s">
        <v>41</v>
      </c>
      <c r="D31"/>
      <c r="E31"/>
      <c r="F31"/>
      <c r="G31"/>
      <c r="H31"/>
      <c r="I31"/>
      <c r="J31"/>
    </row>
    <row r="32" spans="2:21" x14ac:dyDescent="0.2">
      <c r="B32" s="20" t="s">
        <v>323</v>
      </c>
      <c r="C32" s="3" t="s">
        <v>156</v>
      </c>
      <c r="D32" s="3" t="s">
        <v>155</v>
      </c>
      <c r="E32" s="3" t="s">
        <v>154</v>
      </c>
      <c r="F32" s="3" t="s">
        <v>332</v>
      </c>
      <c r="G32" s="3" t="s">
        <v>153</v>
      </c>
      <c r="H32" s="3" t="s">
        <v>305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2:21" x14ac:dyDescent="0.2">
      <c r="B33" s="3" t="s">
        <v>348</v>
      </c>
      <c r="C33" s="21">
        <v>0</v>
      </c>
      <c r="D33" s="21">
        <v>0</v>
      </c>
      <c r="E33" s="21">
        <v>0</v>
      </c>
      <c r="F33" s="21">
        <v>0</v>
      </c>
      <c r="G33" s="21">
        <v>5</v>
      </c>
      <c r="H33" s="21">
        <v>5</v>
      </c>
    </row>
    <row r="34" spans="2:21" x14ac:dyDescent="0.2">
      <c r="B34" s="3" t="s">
        <v>349</v>
      </c>
      <c r="C34" s="21">
        <v>0</v>
      </c>
      <c r="D34" s="21">
        <v>0</v>
      </c>
      <c r="E34" s="21">
        <v>0</v>
      </c>
      <c r="F34" s="21">
        <v>0</v>
      </c>
      <c r="G34" s="21">
        <v>5</v>
      </c>
      <c r="H34" s="21">
        <v>5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2:21" x14ac:dyDescent="0.2">
      <c r="B35" s="3" t="s">
        <v>350</v>
      </c>
      <c r="C35" s="21">
        <v>0</v>
      </c>
      <c r="D35" s="21">
        <v>0</v>
      </c>
      <c r="E35" s="21">
        <v>0</v>
      </c>
      <c r="F35" s="21">
        <v>0</v>
      </c>
      <c r="G35" s="21">
        <v>5</v>
      </c>
      <c r="H35" s="21">
        <v>5</v>
      </c>
    </row>
    <row r="36" spans="2:21" x14ac:dyDescent="0.2">
      <c r="B36" s="3" t="s">
        <v>351</v>
      </c>
      <c r="C36" s="21">
        <v>0</v>
      </c>
      <c r="D36" s="21">
        <v>0</v>
      </c>
      <c r="E36" s="21">
        <v>0</v>
      </c>
      <c r="F36" s="21">
        <v>0</v>
      </c>
      <c r="G36" s="21">
        <v>5</v>
      </c>
      <c r="H36" s="21">
        <v>5</v>
      </c>
    </row>
    <row r="37" spans="2:21" x14ac:dyDescent="0.2">
      <c r="B37" s="3" t="s">
        <v>352</v>
      </c>
      <c r="C37" s="21">
        <v>0</v>
      </c>
      <c r="D37" s="21">
        <v>0</v>
      </c>
      <c r="E37" s="21">
        <v>0</v>
      </c>
      <c r="F37" s="21">
        <v>0</v>
      </c>
      <c r="G37" s="21">
        <v>5</v>
      </c>
      <c r="H37" s="21">
        <v>5</v>
      </c>
    </row>
    <row r="38" spans="2:21" x14ac:dyDescent="0.2">
      <c r="B38" s="3" t="s">
        <v>353</v>
      </c>
      <c r="C38" s="21">
        <v>0</v>
      </c>
      <c r="D38" s="21">
        <v>0</v>
      </c>
      <c r="E38" s="21">
        <v>0</v>
      </c>
      <c r="F38" s="21">
        <v>0</v>
      </c>
      <c r="G38" s="21">
        <v>5</v>
      </c>
      <c r="H38" s="21">
        <v>5</v>
      </c>
    </row>
    <row r="39" spans="2:21" x14ac:dyDescent="0.2">
      <c r="B39" s="3" t="s">
        <v>354</v>
      </c>
      <c r="C39" s="21">
        <v>0</v>
      </c>
      <c r="D39" s="21">
        <v>0</v>
      </c>
      <c r="E39" s="21">
        <v>0</v>
      </c>
      <c r="F39" s="21">
        <v>0</v>
      </c>
      <c r="G39" s="21">
        <v>5</v>
      </c>
      <c r="H39" s="21">
        <v>5</v>
      </c>
    </row>
    <row r="40" spans="2:21" x14ac:dyDescent="0.2">
      <c r="B40" s="3" t="s">
        <v>355</v>
      </c>
      <c r="C40" s="21">
        <v>0</v>
      </c>
      <c r="D40" s="21">
        <v>0</v>
      </c>
      <c r="E40" s="21">
        <v>0</v>
      </c>
      <c r="F40" s="21">
        <v>0</v>
      </c>
      <c r="G40" s="21">
        <v>5</v>
      </c>
      <c r="H40" s="21">
        <v>5</v>
      </c>
    </row>
    <row r="41" spans="2:21" x14ac:dyDescent="0.2">
      <c r="B41" s="3" t="s">
        <v>357</v>
      </c>
      <c r="C41" s="21">
        <v>0</v>
      </c>
      <c r="D41" s="21">
        <v>0</v>
      </c>
      <c r="E41" s="21">
        <v>0</v>
      </c>
      <c r="F41" s="21">
        <v>0</v>
      </c>
      <c r="G41" s="21">
        <v>5</v>
      </c>
      <c r="H41" s="21">
        <v>5</v>
      </c>
    </row>
    <row r="42" spans="2:21" x14ac:dyDescent="0.2">
      <c r="B42" s="3" t="s">
        <v>358</v>
      </c>
      <c r="C42" s="21">
        <v>0</v>
      </c>
      <c r="D42" s="21">
        <v>0</v>
      </c>
      <c r="E42" s="21">
        <v>0</v>
      </c>
      <c r="F42" s="21">
        <v>0</v>
      </c>
      <c r="G42" s="21">
        <v>5</v>
      </c>
      <c r="H42" s="21">
        <v>5</v>
      </c>
    </row>
    <row r="43" spans="2:21" x14ac:dyDescent="0.2">
      <c r="B43" s="3" t="s">
        <v>359</v>
      </c>
      <c r="C43" s="21">
        <v>0</v>
      </c>
      <c r="D43" s="21">
        <v>0</v>
      </c>
      <c r="E43" s="21">
        <v>0</v>
      </c>
      <c r="F43" s="21">
        <v>0</v>
      </c>
      <c r="G43" s="21">
        <v>5</v>
      </c>
      <c r="H43" s="21">
        <v>5</v>
      </c>
    </row>
    <row r="44" spans="2:21" x14ac:dyDescent="0.2">
      <c r="B44" s="3" t="s">
        <v>360</v>
      </c>
      <c r="C44" s="21">
        <v>0</v>
      </c>
      <c r="D44" s="21">
        <v>0</v>
      </c>
      <c r="E44" s="21">
        <v>0</v>
      </c>
      <c r="F44" s="21">
        <v>0</v>
      </c>
      <c r="G44" s="21">
        <v>5</v>
      </c>
      <c r="H44" s="21">
        <v>5</v>
      </c>
    </row>
    <row r="45" spans="2:21" x14ac:dyDescent="0.2">
      <c r="B45" s="3" t="s">
        <v>361</v>
      </c>
      <c r="C45" s="21">
        <v>0</v>
      </c>
      <c r="D45" s="21">
        <v>0</v>
      </c>
      <c r="E45" s="21">
        <v>0</v>
      </c>
      <c r="F45" s="21">
        <v>0</v>
      </c>
      <c r="G45" s="21">
        <v>5</v>
      </c>
      <c r="H45" s="21">
        <v>5</v>
      </c>
    </row>
    <row r="46" spans="2:21" x14ac:dyDescent="0.2">
      <c r="B46" s="3" t="s">
        <v>362</v>
      </c>
      <c r="C46" s="21">
        <v>0</v>
      </c>
      <c r="D46" s="21">
        <v>0</v>
      </c>
      <c r="E46" s="21">
        <v>0</v>
      </c>
      <c r="F46" s="21">
        <v>0</v>
      </c>
      <c r="G46" s="21">
        <v>5</v>
      </c>
      <c r="H46" s="21">
        <v>5</v>
      </c>
    </row>
    <row r="47" spans="2:21" x14ac:dyDescent="0.2">
      <c r="B47" s="3" t="s">
        <v>363</v>
      </c>
      <c r="C47" s="21">
        <v>0</v>
      </c>
      <c r="D47" s="21">
        <v>0</v>
      </c>
      <c r="E47" s="21">
        <v>0</v>
      </c>
      <c r="F47" s="21">
        <v>0</v>
      </c>
      <c r="G47" s="21">
        <v>5</v>
      </c>
      <c r="H47" s="21">
        <v>5</v>
      </c>
    </row>
    <row r="48" spans="2:21" x14ac:dyDescent="0.2">
      <c r="B48" s="3" t="s">
        <v>364</v>
      </c>
      <c r="C48" s="21">
        <v>0</v>
      </c>
      <c r="D48" s="21">
        <v>0</v>
      </c>
      <c r="E48" s="21">
        <v>0</v>
      </c>
      <c r="F48" s="21">
        <v>0</v>
      </c>
      <c r="G48" s="21">
        <v>5</v>
      </c>
      <c r="H48" s="21">
        <v>5</v>
      </c>
    </row>
    <row r="49" spans="2:10" x14ac:dyDescent="0.2">
      <c r="B49" s="3" t="s">
        <v>305</v>
      </c>
      <c r="C49" s="21">
        <v>0</v>
      </c>
      <c r="D49" s="21">
        <v>0</v>
      </c>
      <c r="E49" s="21">
        <v>0</v>
      </c>
      <c r="F49" s="21">
        <v>0</v>
      </c>
      <c r="G49" s="21">
        <v>80</v>
      </c>
      <c r="H49" s="21">
        <v>80</v>
      </c>
    </row>
    <row r="53" spans="2:10" s="3" customFormat="1" x14ac:dyDescent="0.2">
      <c r="B53"/>
      <c r="C53"/>
      <c r="D53"/>
      <c r="E53"/>
      <c r="F53"/>
      <c r="G53"/>
      <c r="H53"/>
      <c r="I53"/>
      <c r="J53"/>
    </row>
    <row r="54" spans="2:10" s="3" customFormat="1" x14ac:dyDescent="0.2"/>
    <row r="56" spans="2:10" x14ac:dyDescent="0.2">
      <c r="B56" s="20" t="s">
        <v>2</v>
      </c>
      <c r="C56" s="3" t="s">
        <v>18</v>
      </c>
      <c r="D56" s="3"/>
      <c r="E56" s="3"/>
      <c r="F56" s="3"/>
      <c r="G56" s="3"/>
      <c r="H56" s="3"/>
      <c r="I56" s="3"/>
      <c r="J56" s="3"/>
    </row>
    <row r="57" spans="2:10" x14ac:dyDescent="0.2">
      <c r="B57" s="3"/>
      <c r="C57" s="3"/>
      <c r="D57" s="3"/>
      <c r="E57" s="3"/>
      <c r="F57" s="3"/>
      <c r="G57" s="3"/>
      <c r="H57" s="3"/>
      <c r="I57" s="3"/>
      <c r="J57" s="3"/>
    </row>
    <row r="58" spans="2:10" x14ac:dyDescent="0.2">
      <c r="B58" s="20" t="s">
        <v>329</v>
      </c>
      <c r="C58" s="20" t="s">
        <v>41</v>
      </c>
    </row>
    <row r="59" spans="2:10" x14ac:dyDescent="0.2">
      <c r="B59" s="20" t="s">
        <v>398</v>
      </c>
      <c r="C59" s="3" t="s">
        <v>156</v>
      </c>
      <c r="D59" s="3" t="s">
        <v>155</v>
      </c>
      <c r="E59" s="3" t="s">
        <v>154</v>
      </c>
      <c r="F59" s="3" t="s">
        <v>332</v>
      </c>
      <c r="G59" s="3" t="s">
        <v>153</v>
      </c>
      <c r="H59" s="3" t="s">
        <v>305</v>
      </c>
    </row>
    <row r="60" spans="2:10" x14ac:dyDescent="0.2">
      <c r="B60" s="3" t="s">
        <v>396</v>
      </c>
      <c r="C60" s="21">
        <v>0</v>
      </c>
      <c r="D60" s="21">
        <v>0</v>
      </c>
      <c r="E60" s="21">
        <v>0</v>
      </c>
      <c r="F60" s="21">
        <v>0</v>
      </c>
      <c r="G60" s="21">
        <v>16</v>
      </c>
      <c r="H60" s="21">
        <v>16</v>
      </c>
    </row>
    <row r="61" spans="2:10" x14ac:dyDescent="0.2">
      <c r="B61" s="3" t="s">
        <v>395</v>
      </c>
      <c r="C61" s="21">
        <v>0</v>
      </c>
      <c r="D61" s="21">
        <v>0</v>
      </c>
      <c r="E61" s="21">
        <v>0</v>
      </c>
      <c r="F61" s="21">
        <v>0</v>
      </c>
      <c r="G61" s="21">
        <v>16</v>
      </c>
      <c r="H61" s="21">
        <v>16</v>
      </c>
    </row>
    <row r="62" spans="2:10" x14ac:dyDescent="0.2">
      <c r="B62" s="3" t="s">
        <v>394</v>
      </c>
      <c r="C62" s="21">
        <v>0</v>
      </c>
      <c r="D62" s="21">
        <v>0</v>
      </c>
      <c r="E62" s="21">
        <v>0</v>
      </c>
      <c r="F62" s="21">
        <v>0</v>
      </c>
      <c r="G62" s="21">
        <v>16</v>
      </c>
      <c r="H62" s="21">
        <v>16</v>
      </c>
    </row>
    <row r="63" spans="2:10" x14ac:dyDescent="0.2">
      <c r="B63" s="3" t="s">
        <v>415</v>
      </c>
      <c r="C63" s="21">
        <v>0</v>
      </c>
      <c r="D63" s="21">
        <v>0</v>
      </c>
      <c r="E63" s="21">
        <v>0</v>
      </c>
      <c r="F63" s="21">
        <v>0</v>
      </c>
      <c r="G63" s="21">
        <v>16</v>
      </c>
      <c r="H63" s="21">
        <v>16</v>
      </c>
    </row>
    <row r="64" spans="2:10" x14ac:dyDescent="0.2">
      <c r="B64" s="3" t="s">
        <v>496</v>
      </c>
      <c r="C64" s="21">
        <v>0</v>
      </c>
      <c r="D64" s="21">
        <v>0</v>
      </c>
      <c r="E64" s="21">
        <v>0</v>
      </c>
      <c r="F64" s="21">
        <v>0</v>
      </c>
      <c r="G64" s="21">
        <v>16</v>
      </c>
      <c r="H64" s="21">
        <v>16</v>
      </c>
    </row>
    <row r="65" spans="2:20" x14ac:dyDescent="0.2">
      <c r="B65" s="3" t="s">
        <v>305</v>
      </c>
      <c r="C65" s="21">
        <v>0</v>
      </c>
      <c r="D65" s="21">
        <v>0</v>
      </c>
      <c r="E65" s="21">
        <v>0</v>
      </c>
      <c r="F65" s="21">
        <v>0</v>
      </c>
      <c r="G65" s="21">
        <v>80</v>
      </c>
      <c r="H65" s="21">
        <v>80</v>
      </c>
    </row>
    <row r="66" spans="2:20" s="3" customFormat="1" x14ac:dyDescent="0.2">
      <c r="C66" s="21"/>
      <c r="D66" s="21"/>
      <c r="E66" s="21"/>
      <c r="F66" s="21"/>
      <c r="G66" s="21"/>
      <c r="H66" s="21"/>
      <c r="I66" s="21"/>
      <c r="J66" s="21"/>
    </row>
    <row r="67" spans="2:20" s="3" customFormat="1" x14ac:dyDescent="0.2">
      <c r="B67" s="23" t="s">
        <v>331</v>
      </c>
      <c r="C67" s="21"/>
      <c r="D67" s="21"/>
      <c r="E67" s="21"/>
      <c r="F67" s="21"/>
      <c r="G67" s="21"/>
      <c r="H67" s="21"/>
      <c r="I67" s="21"/>
      <c r="J67" s="21"/>
    </row>
    <row r="68" spans="2:20" s="3" customFormat="1" x14ac:dyDescent="0.2">
      <c r="B68" s="23" t="str">
        <f t="shared" ref="B68:H68" si="0">B59</f>
        <v>Location</v>
      </c>
      <c r="C68" s="23" t="str">
        <f t="shared" si="0"/>
        <v>evidence provided</v>
      </c>
      <c r="D68" s="23" t="str">
        <f t="shared" si="0"/>
        <v>completed</v>
      </c>
      <c r="E68" s="23" t="str">
        <f t="shared" si="0"/>
        <v>in progress</v>
      </c>
      <c r="F68" s="23" t="str">
        <f t="shared" si="0"/>
        <v>released</v>
      </c>
      <c r="G68" s="23" t="str">
        <f t="shared" si="0"/>
        <v>to be started</v>
      </c>
      <c r="H68" s="23" t="str">
        <f t="shared" si="0"/>
        <v>Grand Total</v>
      </c>
      <c r="I68" s="49"/>
      <c r="J68" s="49"/>
    </row>
    <row r="69" spans="2:20" s="3" customFormat="1" x14ac:dyDescent="0.2">
      <c r="B69" s="24" t="str">
        <f t="shared" ref="B69:H69" si="1">B60</f>
        <v>GERMANY</v>
      </c>
      <c r="C69" s="22">
        <f t="shared" si="1"/>
        <v>0</v>
      </c>
      <c r="D69" s="22">
        <f t="shared" si="1"/>
        <v>0</v>
      </c>
      <c r="E69" s="22">
        <f t="shared" si="1"/>
        <v>0</v>
      </c>
      <c r="F69" s="22">
        <f t="shared" si="1"/>
        <v>0</v>
      </c>
      <c r="G69" s="22">
        <f t="shared" si="1"/>
        <v>16</v>
      </c>
      <c r="H69" s="22">
        <f t="shared" si="1"/>
        <v>16</v>
      </c>
      <c r="I69" s="50"/>
      <c r="J69" s="50"/>
    </row>
    <row r="70" spans="2:20" s="3" customFormat="1" x14ac:dyDescent="0.2">
      <c r="B70" s="3" t="str">
        <f t="shared" ref="B70:H70" si="2">B61</f>
        <v>UK</v>
      </c>
      <c r="C70" s="21">
        <f t="shared" si="2"/>
        <v>0</v>
      </c>
      <c r="D70" s="21">
        <f t="shared" si="2"/>
        <v>0</v>
      </c>
      <c r="E70" s="21">
        <f t="shared" si="2"/>
        <v>0</v>
      </c>
      <c r="F70" s="21">
        <f t="shared" si="2"/>
        <v>0</v>
      </c>
      <c r="G70" s="21">
        <f t="shared" si="2"/>
        <v>16</v>
      </c>
      <c r="H70" s="21">
        <f t="shared" si="2"/>
        <v>16</v>
      </c>
      <c r="I70" s="50"/>
      <c r="J70" s="50"/>
    </row>
    <row r="71" spans="2:20" s="3" customFormat="1" x14ac:dyDescent="0.2">
      <c r="B71" s="24" t="str">
        <f t="shared" ref="B71:H71" si="3">B62</f>
        <v>USA</v>
      </c>
      <c r="C71" s="22">
        <f t="shared" si="3"/>
        <v>0</v>
      </c>
      <c r="D71" s="22">
        <f t="shared" si="3"/>
        <v>0</v>
      </c>
      <c r="E71" s="22">
        <f t="shared" si="3"/>
        <v>0</v>
      </c>
      <c r="F71" s="22">
        <f t="shared" si="3"/>
        <v>0</v>
      </c>
      <c r="G71" s="22">
        <f t="shared" si="3"/>
        <v>16</v>
      </c>
      <c r="H71" s="22">
        <f t="shared" si="3"/>
        <v>16</v>
      </c>
      <c r="I71" s="50"/>
      <c r="J71" s="50"/>
    </row>
    <row r="72" spans="2:20" s="3" customFormat="1" x14ac:dyDescent="0.2">
      <c r="B72" s="3" t="str">
        <f t="shared" ref="B72:H74" si="4">B63</f>
        <v>CHINA</v>
      </c>
      <c r="C72" s="21">
        <f t="shared" si="4"/>
        <v>0</v>
      </c>
      <c r="D72" s="21">
        <f t="shared" si="4"/>
        <v>0</v>
      </c>
      <c r="E72" s="21">
        <f t="shared" si="4"/>
        <v>0</v>
      </c>
      <c r="F72" s="21">
        <f t="shared" si="4"/>
        <v>0</v>
      </c>
      <c r="G72" s="21">
        <f t="shared" si="4"/>
        <v>16</v>
      </c>
      <c r="H72" s="21">
        <f t="shared" si="4"/>
        <v>16</v>
      </c>
      <c r="I72" s="50"/>
      <c r="J72" s="50"/>
    </row>
    <row r="73" spans="2:20" s="3" customFormat="1" x14ac:dyDescent="0.2">
      <c r="B73" s="3" t="str">
        <f t="shared" si="4"/>
        <v>RUSSIA</v>
      </c>
      <c r="C73" s="21">
        <f t="shared" si="4"/>
        <v>0</v>
      </c>
      <c r="D73" s="21">
        <f t="shared" si="4"/>
        <v>0</v>
      </c>
      <c r="E73" s="21">
        <f t="shared" si="4"/>
        <v>0</v>
      </c>
      <c r="F73" s="21">
        <f t="shared" si="4"/>
        <v>0</v>
      </c>
      <c r="G73" s="21">
        <f t="shared" si="4"/>
        <v>16</v>
      </c>
      <c r="H73" s="21">
        <f t="shared" si="4"/>
        <v>16</v>
      </c>
    </row>
    <row r="74" spans="2:20" s="3" customFormat="1" x14ac:dyDescent="0.2">
      <c r="B74" s="3" t="str">
        <f t="shared" si="4"/>
        <v>Grand Total</v>
      </c>
      <c r="C74" s="21">
        <f t="shared" si="4"/>
        <v>0</v>
      </c>
      <c r="D74" s="21">
        <f t="shared" si="4"/>
        <v>0</v>
      </c>
      <c r="E74" s="21">
        <f t="shared" si="4"/>
        <v>0</v>
      </c>
      <c r="F74" s="21">
        <f t="shared" si="4"/>
        <v>0</v>
      </c>
      <c r="G74" s="21">
        <f t="shared" si="4"/>
        <v>80</v>
      </c>
      <c r="H74" s="21">
        <f t="shared" si="4"/>
        <v>80</v>
      </c>
    </row>
    <row r="75" spans="2:20" s="3" customFormat="1" x14ac:dyDescent="0.2">
      <c r="C75" s="21"/>
      <c r="D75" s="21"/>
      <c r="E75" s="21"/>
      <c r="F75" s="21"/>
      <c r="G75" s="21"/>
      <c r="H75" s="21"/>
      <c r="I75" s="21"/>
      <c r="J75" s="21"/>
    </row>
    <row r="77" spans="2:20" x14ac:dyDescent="0.2">
      <c r="F77" s="10"/>
      <c r="G77" s="10"/>
      <c r="H77" s="10"/>
      <c r="I77" s="10"/>
      <c r="J77" s="10"/>
      <c r="K77" s="10"/>
      <c r="L77" s="10"/>
    </row>
    <row r="78" spans="2:20" x14ac:dyDescent="0.2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</row>
    <row r="79" spans="2:20" x14ac:dyDescent="0.2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</row>
    <row r="80" spans="2:20" x14ac:dyDescent="0.2">
      <c r="B80" s="10"/>
      <c r="C80" s="10"/>
      <c r="D80" s="10"/>
      <c r="F80" s="10"/>
      <c r="G80" s="10"/>
      <c r="H80" s="10"/>
      <c r="I80" s="10"/>
      <c r="J80" s="10"/>
      <c r="K80" s="10"/>
      <c r="L80" s="10"/>
      <c r="M80" s="20"/>
      <c r="N80" s="20"/>
      <c r="O80" s="20"/>
      <c r="P80" s="20"/>
      <c r="Q80" s="20"/>
      <c r="R80" s="20"/>
      <c r="S80" s="20"/>
      <c r="T80" s="20"/>
    </row>
    <row r="81" spans="2:20" x14ac:dyDescent="0.2">
      <c r="B81" s="10"/>
      <c r="C81" s="26"/>
      <c r="D81" s="26"/>
      <c r="F81" s="10"/>
      <c r="G81" s="26"/>
      <c r="H81" s="10"/>
      <c r="I81" s="26"/>
      <c r="J81" s="10"/>
      <c r="K81" s="10"/>
      <c r="L81" s="26"/>
    </row>
    <row r="82" spans="2:20" x14ac:dyDescent="0.2">
      <c r="B82" s="10"/>
      <c r="C82" s="26"/>
      <c r="F82" s="10"/>
      <c r="G82" s="26"/>
      <c r="H82" s="10"/>
      <c r="I82" s="26"/>
      <c r="J82" s="10"/>
      <c r="K82" s="10"/>
      <c r="L82" s="26"/>
    </row>
    <row r="83" spans="2:20" x14ac:dyDescent="0.2">
      <c r="B83" s="10"/>
      <c r="C83" s="26"/>
      <c r="F83" s="10"/>
      <c r="G83" s="26"/>
      <c r="H83" s="10"/>
      <c r="I83" s="26"/>
      <c r="J83" s="10"/>
      <c r="K83" s="10"/>
      <c r="L83" s="26"/>
    </row>
    <row r="84" spans="2:20" x14ac:dyDescent="0.2">
      <c r="B84" s="10"/>
      <c r="C84" s="26"/>
      <c r="F84" s="10"/>
      <c r="G84" s="26"/>
      <c r="H84" s="10"/>
      <c r="I84" s="26"/>
      <c r="J84" s="10"/>
      <c r="K84" s="10"/>
      <c r="L84" s="26"/>
    </row>
    <row r="85" spans="2:20" x14ac:dyDescent="0.2">
      <c r="B85" s="10"/>
      <c r="C85" s="26"/>
      <c r="F85" s="10"/>
      <c r="G85" s="26"/>
      <c r="H85" s="10"/>
      <c r="I85" s="26"/>
      <c r="J85" s="10"/>
      <c r="K85" s="10"/>
      <c r="L85" s="26"/>
    </row>
    <row r="86" spans="2:20" x14ac:dyDescent="0.2">
      <c r="B86" s="10"/>
      <c r="C86" s="26"/>
      <c r="F86" s="10"/>
      <c r="G86" s="26"/>
      <c r="H86" s="10"/>
      <c r="I86" s="26"/>
      <c r="J86" s="10"/>
      <c r="K86" s="10"/>
      <c r="L86" s="26"/>
    </row>
    <row r="87" spans="2:20" x14ac:dyDescent="0.2">
      <c r="B87" s="10"/>
      <c r="C87" s="26"/>
      <c r="F87" s="10"/>
      <c r="G87" s="26"/>
      <c r="H87" s="10"/>
      <c r="I87" s="26"/>
      <c r="J87" s="10"/>
      <c r="K87" s="10"/>
      <c r="L87" s="26"/>
    </row>
    <row r="88" spans="2:20" x14ac:dyDescent="0.2">
      <c r="B88" s="10"/>
      <c r="C88" s="26"/>
      <c r="F88" s="10"/>
      <c r="G88" s="26"/>
      <c r="H88" s="10"/>
      <c r="I88" s="26"/>
      <c r="J88" s="10"/>
      <c r="K88" s="10"/>
      <c r="L88" s="26"/>
    </row>
    <row r="89" spans="2:20" x14ac:dyDescent="0.2">
      <c r="B89" s="10"/>
      <c r="C89" s="26"/>
      <c r="F89" s="10"/>
      <c r="G89" s="26"/>
      <c r="H89" s="10"/>
      <c r="I89" s="26"/>
      <c r="J89" s="10"/>
      <c r="K89" s="10"/>
      <c r="L89" s="26"/>
    </row>
    <row r="90" spans="2:20" x14ac:dyDescent="0.2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</row>
    <row r="91" spans="2:20" x14ac:dyDescent="0.2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2:20" x14ac:dyDescent="0.2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20"/>
      <c r="N92" s="20"/>
      <c r="O92" s="20"/>
      <c r="P92" s="20"/>
      <c r="Q92" s="20"/>
      <c r="R92" s="20"/>
      <c r="S92" s="20"/>
      <c r="T92" s="20"/>
    </row>
    <row r="93" spans="2:20" x14ac:dyDescent="0.2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20"/>
      <c r="N93" s="20"/>
      <c r="O93" s="20"/>
      <c r="P93" s="20"/>
      <c r="Q93" s="20"/>
      <c r="R93" s="20"/>
      <c r="S93" s="20"/>
      <c r="T93" s="20"/>
    </row>
    <row r="94" spans="2:20" x14ac:dyDescent="0.2">
      <c r="B94" s="10"/>
      <c r="C94" s="26"/>
      <c r="D94" s="10"/>
      <c r="E94" s="26"/>
      <c r="F94" s="10"/>
      <c r="G94" s="26"/>
      <c r="H94" s="10"/>
      <c r="I94" s="26"/>
      <c r="J94" s="10"/>
      <c r="K94" s="10"/>
      <c r="L94" s="26"/>
    </row>
    <row r="95" spans="2:20" x14ac:dyDescent="0.2">
      <c r="B95" s="10"/>
      <c r="C95" s="26"/>
      <c r="D95" s="10"/>
      <c r="E95" s="26"/>
      <c r="F95" s="10"/>
      <c r="G95" s="26"/>
      <c r="H95" s="10"/>
      <c r="I95" s="26"/>
      <c r="J95" s="10"/>
      <c r="K95" s="10"/>
      <c r="L95" s="26"/>
    </row>
    <row r="96" spans="2:20" x14ac:dyDescent="0.2">
      <c r="B96" s="10"/>
      <c r="C96" s="26"/>
      <c r="D96" s="10"/>
      <c r="E96" s="26"/>
      <c r="F96" s="10"/>
      <c r="G96" s="26"/>
      <c r="H96" s="10"/>
      <c r="I96" s="26"/>
      <c r="J96" s="10"/>
      <c r="K96" s="10"/>
      <c r="L96" s="26"/>
    </row>
    <row r="97" spans="2:12" x14ac:dyDescent="0.2">
      <c r="B97" s="10"/>
      <c r="C97" s="26"/>
      <c r="D97" s="10"/>
      <c r="E97" s="26"/>
      <c r="F97" s="10"/>
      <c r="G97" s="26"/>
      <c r="H97" s="10"/>
      <c r="I97" s="26"/>
      <c r="J97" s="10"/>
      <c r="K97" s="10"/>
      <c r="L97" s="26"/>
    </row>
    <row r="98" spans="2:12" x14ac:dyDescent="0.2">
      <c r="B98" s="10"/>
      <c r="C98" s="26"/>
      <c r="D98" s="10"/>
      <c r="E98" s="26"/>
      <c r="F98" s="10"/>
      <c r="G98" s="26"/>
      <c r="H98" s="10"/>
      <c r="I98" s="26"/>
      <c r="J98" s="10"/>
      <c r="K98" s="10"/>
      <c r="L98" s="26"/>
    </row>
    <row r="99" spans="2:12" x14ac:dyDescent="0.2">
      <c r="B99" s="10"/>
      <c r="C99" s="26"/>
      <c r="D99" s="10"/>
      <c r="E99" s="26"/>
      <c r="F99" s="10"/>
      <c r="G99" s="26"/>
      <c r="H99" s="10"/>
      <c r="I99" s="26"/>
      <c r="J99" s="10"/>
      <c r="K99" s="10"/>
      <c r="L99" s="26"/>
    </row>
    <row r="100" spans="2:12" x14ac:dyDescent="0.2">
      <c r="B100" s="10"/>
      <c r="C100" s="26"/>
      <c r="D100" s="10"/>
      <c r="E100" s="26"/>
      <c r="F100" s="10"/>
      <c r="G100" s="26"/>
      <c r="H100" s="10"/>
      <c r="I100" s="26"/>
      <c r="J100" s="10"/>
      <c r="K100" s="10"/>
      <c r="L100" s="26"/>
    </row>
    <row r="101" spans="2:12" x14ac:dyDescent="0.2">
      <c r="B101" s="10"/>
      <c r="C101" s="26"/>
      <c r="D101" s="10"/>
      <c r="E101" s="26"/>
      <c r="F101" s="10"/>
      <c r="G101" s="26"/>
      <c r="H101" s="10"/>
      <c r="I101" s="26"/>
      <c r="J101" s="10"/>
      <c r="K101" s="10"/>
      <c r="L101" s="26"/>
    </row>
    <row r="102" spans="2:12" x14ac:dyDescent="0.2">
      <c r="B102" s="10"/>
      <c r="C102" s="26"/>
      <c r="D102" s="10"/>
      <c r="E102" s="26"/>
      <c r="F102" s="10"/>
      <c r="G102" s="26"/>
      <c r="H102" s="10"/>
      <c r="I102" s="26"/>
      <c r="J102" s="10"/>
      <c r="K102" s="10"/>
      <c r="L102" s="26"/>
    </row>
    <row r="103" spans="2:12" x14ac:dyDescent="0.2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</row>
    <row r="104" spans="2:12" x14ac:dyDescent="0.2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</row>
    <row r="105" spans="2:1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</row>
    <row r="106" spans="2:1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</row>
    <row r="107" spans="2:12" x14ac:dyDescent="0.2">
      <c r="B107" s="10"/>
      <c r="C107" s="26"/>
      <c r="D107" s="10"/>
      <c r="E107" s="26"/>
      <c r="F107" s="10"/>
      <c r="G107" s="26"/>
      <c r="H107" s="10"/>
      <c r="I107" s="26"/>
      <c r="J107" s="10"/>
      <c r="K107" s="10"/>
      <c r="L107" s="26"/>
    </row>
    <row r="108" spans="2:12" x14ac:dyDescent="0.2">
      <c r="B108" s="10"/>
      <c r="C108" s="26"/>
      <c r="D108" s="10"/>
      <c r="E108" s="26"/>
      <c r="F108" s="10"/>
      <c r="G108" s="26"/>
      <c r="H108" s="10"/>
      <c r="I108" s="26"/>
      <c r="J108" s="10"/>
      <c r="K108" s="10"/>
      <c r="L108" s="26"/>
    </row>
    <row r="109" spans="2:12" x14ac:dyDescent="0.2">
      <c r="B109" s="10"/>
      <c r="C109" s="26"/>
      <c r="D109" s="10"/>
      <c r="E109" s="26"/>
      <c r="F109" s="10"/>
      <c r="G109" s="26"/>
      <c r="H109" s="10"/>
      <c r="I109" s="26"/>
      <c r="J109" s="10"/>
      <c r="K109" s="10"/>
      <c r="L109" s="26"/>
    </row>
    <row r="110" spans="2:12" x14ac:dyDescent="0.2">
      <c r="B110" s="10"/>
      <c r="C110" s="26"/>
      <c r="D110" s="10"/>
      <c r="E110" s="26"/>
      <c r="F110" s="10"/>
      <c r="G110" s="26"/>
      <c r="H110" s="10"/>
      <c r="I110" s="26"/>
      <c r="J110" s="10"/>
      <c r="K110" s="10"/>
      <c r="L110" s="26"/>
    </row>
    <row r="111" spans="2:12" x14ac:dyDescent="0.2">
      <c r="B111" s="10"/>
      <c r="C111" s="26"/>
      <c r="D111" s="10"/>
      <c r="E111" s="26"/>
      <c r="F111" s="10"/>
      <c r="G111" s="26"/>
      <c r="H111" s="10"/>
      <c r="I111" s="26"/>
      <c r="J111" s="10"/>
      <c r="K111" s="10"/>
      <c r="L111" s="26"/>
    </row>
    <row r="112" spans="2:12" x14ac:dyDescent="0.2">
      <c r="B112" s="10"/>
      <c r="C112" s="26"/>
      <c r="D112" s="10"/>
      <c r="E112" s="26"/>
      <c r="F112" s="10"/>
      <c r="G112" s="26"/>
      <c r="H112" s="10"/>
      <c r="I112" s="26"/>
      <c r="J112" s="10"/>
      <c r="K112" s="10"/>
      <c r="L112" s="26"/>
    </row>
    <row r="113" spans="2:12" x14ac:dyDescent="0.2">
      <c r="B113" s="10"/>
      <c r="C113" s="26"/>
      <c r="D113" s="10"/>
      <c r="E113" s="26"/>
      <c r="F113" s="10"/>
      <c r="G113" s="26"/>
      <c r="H113" s="10"/>
      <c r="I113" s="26"/>
      <c r="J113" s="10"/>
      <c r="K113" s="10"/>
      <c r="L113" s="26"/>
    </row>
    <row r="114" spans="2:12" x14ac:dyDescent="0.2">
      <c r="B114" s="10"/>
      <c r="C114" s="26"/>
      <c r="D114" s="10"/>
      <c r="E114" s="26"/>
      <c r="F114" s="10"/>
      <c r="G114" s="26"/>
      <c r="H114" s="10"/>
      <c r="I114" s="26"/>
      <c r="J114" s="10"/>
      <c r="K114" s="10"/>
      <c r="L114" s="26"/>
    </row>
    <row r="115" spans="2:12" s="3" customFormat="1" x14ac:dyDescent="0.2">
      <c r="B115" s="10"/>
      <c r="C115" s="26"/>
      <c r="D115" s="10"/>
      <c r="E115" s="26"/>
      <c r="F115" s="10"/>
      <c r="G115" s="26"/>
      <c r="H115" s="10"/>
      <c r="I115" s="26"/>
      <c r="J115" s="10"/>
      <c r="K115" s="10"/>
      <c r="L115" s="26"/>
    </row>
    <row r="117" spans="2:12" x14ac:dyDescent="0.2">
      <c r="D117" s="3"/>
      <c r="E117" s="3"/>
      <c r="F117" s="3"/>
      <c r="G117" s="3"/>
      <c r="H117" s="3"/>
      <c r="I117" s="3"/>
      <c r="J117" s="3"/>
    </row>
    <row r="118" spans="2:12" x14ac:dyDescent="0.2">
      <c r="B118" s="3"/>
      <c r="C118" s="3"/>
      <c r="D118" s="3"/>
      <c r="E118" s="3"/>
      <c r="F118" s="3"/>
      <c r="G118" s="3"/>
      <c r="H118" s="3"/>
      <c r="I118" s="3"/>
      <c r="J118" s="3"/>
    </row>
    <row r="119" spans="2:12" x14ac:dyDescent="0.2">
      <c r="B119" s="3"/>
      <c r="C119" s="3"/>
      <c r="D119" s="3"/>
      <c r="E119" s="3"/>
      <c r="F119" s="3"/>
      <c r="G119" s="3"/>
      <c r="H119" s="3"/>
      <c r="I119" s="3"/>
      <c r="J119" s="3"/>
    </row>
    <row r="120" spans="2:12" x14ac:dyDescent="0.2">
      <c r="B120" s="3"/>
      <c r="C120" s="3"/>
    </row>
    <row r="121" spans="2:12" x14ac:dyDescent="0.2">
      <c r="B121" s="3"/>
      <c r="C121" s="3"/>
    </row>
    <row r="122" spans="2:12" x14ac:dyDescent="0.2">
      <c r="B122" s="3"/>
      <c r="C122" s="3"/>
      <c r="D122" s="3"/>
      <c r="E122" s="3"/>
      <c r="F122" s="3"/>
      <c r="G122" s="3"/>
    </row>
    <row r="123" spans="2:12" x14ac:dyDescent="0.2">
      <c r="B123" s="3"/>
      <c r="C123" s="21"/>
      <c r="D123" s="21"/>
      <c r="E123" s="21"/>
      <c r="F123" s="21"/>
      <c r="G123" s="21"/>
    </row>
    <row r="124" spans="2:12" x14ac:dyDescent="0.2">
      <c r="B124" s="3"/>
      <c r="C124" s="21"/>
      <c r="D124" s="21"/>
      <c r="E124" s="21"/>
      <c r="F124" s="21"/>
      <c r="G124" s="21"/>
    </row>
    <row r="125" spans="2:12" x14ac:dyDescent="0.2">
      <c r="B125" s="3"/>
      <c r="C125" s="21"/>
      <c r="D125" s="21"/>
      <c r="E125" s="21"/>
      <c r="F125" s="21"/>
      <c r="G125" s="21"/>
    </row>
  </sheetData>
  <sheetProtection pivotTables="0"/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"/>
  <sheetViews>
    <sheetView zoomScaleNormal="100" workbookViewId="0">
      <selection activeCell="N5" sqref="N5"/>
    </sheetView>
  </sheetViews>
  <sheetFormatPr defaultRowHeight="12.75" x14ac:dyDescent="0.2"/>
  <cols>
    <col min="1" max="1" width="51.28515625" style="86" customWidth="1"/>
    <col min="2" max="2" width="18.42578125" style="86" customWidth="1"/>
    <col min="3" max="3" width="17.28515625" style="86" bestFit="1" customWidth="1"/>
    <col min="4" max="6" width="11.28515625" style="86" bestFit="1" customWidth="1"/>
    <col min="7" max="7" width="15.5703125" style="86" bestFit="1" customWidth="1"/>
    <col min="8" max="9" width="16.140625" style="86" bestFit="1" customWidth="1"/>
    <col min="10" max="10" width="13.28515625" style="86" customWidth="1"/>
    <col min="11" max="11" width="12.28515625" style="86" bestFit="1" customWidth="1"/>
    <col min="12" max="13" width="11.140625" style="86" customWidth="1"/>
    <col min="14" max="14" width="16.140625" style="86" bestFit="1" customWidth="1"/>
    <col min="15" max="15" width="8.5703125" style="86" customWidth="1"/>
    <col min="16" max="16" width="10.85546875" style="86" bestFit="1" customWidth="1"/>
    <col min="17" max="17" width="8.85546875" style="86" bestFit="1" customWidth="1"/>
    <col min="18" max="19" width="9.140625" style="86"/>
    <col min="20" max="20" width="18.140625" style="86" bestFit="1" customWidth="1"/>
    <col min="21" max="21" width="10.42578125" style="86" customWidth="1"/>
    <col min="22" max="22" width="10" style="86" bestFit="1" customWidth="1"/>
    <col min="23" max="23" width="14.85546875" style="86" bestFit="1" customWidth="1"/>
    <col min="24" max="24" width="21.85546875" style="86" bestFit="1" customWidth="1"/>
    <col min="25" max="26" width="9.140625" style="86"/>
    <col min="27" max="34" width="11.140625" style="86" customWidth="1"/>
    <col min="35" max="16384" width="9.140625" style="86"/>
  </cols>
  <sheetData>
    <row r="1" spans="1:25" x14ac:dyDescent="0.2">
      <c r="A1" s="84" t="s">
        <v>346</v>
      </c>
      <c r="B1" s="85" t="s">
        <v>0</v>
      </c>
      <c r="C1" s="84" t="s">
        <v>341</v>
      </c>
      <c r="D1" s="84" t="s">
        <v>342</v>
      </c>
      <c r="E1" s="84" t="s">
        <v>343</v>
      </c>
      <c r="F1" s="84" t="s">
        <v>344</v>
      </c>
      <c r="G1" s="84" t="s">
        <v>345</v>
      </c>
      <c r="H1" s="84" t="s">
        <v>339</v>
      </c>
      <c r="I1" s="84" t="s">
        <v>340</v>
      </c>
      <c r="K1" s="84" t="s">
        <v>157</v>
      </c>
      <c r="L1" s="84" t="s">
        <v>0</v>
      </c>
      <c r="M1" s="84" t="s">
        <v>151</v>
      </c>
      <c r="N1" s="84" t="s">
        <v>152</v>
      </c>
      <c r="P1" s="84" t="s">
        <v>30</v>
      </c>
      <c r="Q1" s="84" t="s">
        <v>0</v>
      </c>
      <c r="R1" s="84" t="s">
        <v>31</v>
      </c>
      <c r="S1" s="84" t="s">
        <v>306</v>
      </c>
      <c r="T1" s="84" t="s">
        <v>39</v>
      </c>
      <c r="V1" s="84" t="s">
        <v>31</v>
      </c>
      <c r="W1" s="84" t="s">
        <v>24</v>
      </c>
      <c r="X1" s="84" t="s">
        <v>25</v>
      </c>
      <c r="Y1" s="84" t="s">
        <v>26</v>
      </c>
    </row>
    <row r="2" spans="1:25" x14ac:dyDescent="0.2">
      <c r="A2" s="87" t="s">
        <v>357</v>
      </c>
      <c r="B2" s="88" t="s">
        <v>1</v>
      </c>
      <c r="C2" s="86" t="s">
        <v>153</v>
      </c>
      <c r="D2" s="86" t="s">
        <v>332</v>
      </c>
      <c r="E2" s="86" t="s">
        <v>154</v>
      </c>
      <c r="F2" s="86" t="s">
        <v>155</v>
      </c>
      <c r="G2" s="86" t="s">
        <v>156</v>
      </c>
      <c r="H2" s="89" t="s">
        <v>356</v>
      </c>
      <c r="I2" s="90"/>
      <c r="K2" s="86" t="s">
        <v>396</v>
      </c>
      <c r="L2" s="88" t="s">
        <v>1</v>
      </c>
      <c r="M2" s="86" t="s">
        <v>40</v>
      </c>
      <c r="N2" s="86">
        <v>1</v>
      </c>
      <c r="P2" s="86" t="s">
        <v>153</v>
      </c>
      <c r="Q2" s="88" t="s">
        <v>1</v>
      </c>
      <c r="R2" s="88" t="s">
        <v>32</v>
      </c>
      <c r="S2" s="88" t="s">
        <v>37</v>
      </c>
      <c r="T2" s="88" t="s">
        <v>273</v>
      </c>
      <c r="V2" s="86" t="s">
        <v>20</v>
      </c>
      <c r="W2" s="88" t="s">
        <v>28</v>
      </c>
      <c r="X2" s="88">
        <v>51</v>
      </c>
      <c r="Y2" s="88">
        <v>0</v>
      </c>
    </row>
    <row r="3" spans="1:25" x14ac:dyDescent="0.2">
      <c r="A3" s="91" t="s">
        <v>358</v>
      </c>
      <c r="B3" s="88" t="s">
        <v>3</v>
      </c>
      <c r="C3" s="86" t="s">
        <v>153</v>
      </c>
      <c r="D3" s="86" t="s">
        <v>332</v>
      </c>
      <c r="E3" s="86" t="s">
        <v>154</v>
      </c>
      <c r="F3" s="86" t="s">
        <v>155</v>
      </c>
      <c r="G3" s="86" t="s">
        <v>156</v>
      </c>
      <c r="H3" s="92" t="s">
        <v>381</v>
      </c>
      <c r="K3" s="86" t="s">
        <v>395</v>
      </c>
      <c r="L3" s="88" t="s">
        <v>3</v>
      </c>
      <c r="M3" s="86" t="s">
        <v>40</v>
      </c>
      <c r="N3" s="86">
        <v>1</v>
      </c>
      <c r="P3" s="86" t="s">
        <v>332</v>
      </c>
      <c r="Q3" s="88" t="s">
        <v>3</v>
      </c>
      <c r="R3" s="88" t="s">
        <v>158</v>
      </c>
      <c r="S3" s="88" t="s">
        <v>38</v>
      </c>
      <c r="T3" s="88" t="s">
        <v>40</v>
      </c>
      <c r="V3" s="86" t="s">
        <v>21</v>
      </c>
      <c r="W3" s="88" t="s">
        <v>367</v>
      </c>
      <c r="X3" s="88" t="s">
        <v>368</v>
      </c>
      <c r="Y3" s="88" t="s">
        <v>369</v>
      </c>
    </row>
    <row r="4" spans="1:25" x14ac:dyDescent="0.2">
      <c r="A4" s="87" t="s">
        <v>359</v>
      </c>
      <c r="B4" s="88" t="s">
        <v>4</v>
      </c>
      <c r="C4" s="86" t="s">
        <v>153</v>
      </c>
      <c r="D4" s="86" t="s">
        <v>332</v>
      </c>
      <c r="E4" s="86" t="s">
        <v>154</v>
      </c>
      <c r="F4" s="86" t="s">
        <v>155</v>
      </c>
      <c r="G4" s="86" t="s">
        <v>156</v>
      </c>
      <c r="H4" s="89" t="s">
        <v>382</v>
      </c>
      <c r="K4" s="86" t="s">
        <v>394</v>
      </c>
      <c r="L4" s="88" t="s">
        <v>4</v>
      </c>
      <c r="M4" s="86" t="s">
        <v>40</v>
      </c>
      <c r="N4" s="86">
        <v>1</v>
      </c>
      <c r="P4" s="86" t="s">
        <v>154</v>
      </c>
      <c r="Q4" s="88" t="s">
        <v>4</v>
      </c>
      <c r="R4" s="88" t="s">
        <v>36</v>
      </c>
      <c r="S4" s="88" t="s">
        <v>38</v>
      </c>
      <c r="T4" s="88" t="s">
        <v>40</v>
      </c>
      <c r="V4" s="86" t="s">
        <v>22</v>
      </c>
      <c r="W4" s="88" t="s">
        <v>29</v>
      </c>
      <c r="X4" s="88">
        <v>128</v>
      </c>
      <c r="Y4" s="88">
        <v>128</v>
      </c>
    </row>
    <row r="5" spans="1:25" x14ac:dyDescent="0.2">
      <c r="A5" s="91" t="s">
        <v>360</v>
      </c>
      <c r="B5" s="88" t="s">
        <v>5</v>
      </c>
      <c r="C5" s="86" t="s">
        <v>153</v>
      </c>
      <c r="D5" s="86" t="s">
        <v>332</v>
      </c>
      <c r="E5" s="86" t="s">
        <v>154</v>
      </c>
      <c r="F5" s="86" t="s">
        <v>155</v>
      </c>
      <c r="G5" s="86" t="s">
        <v>156</v>
      </c>
      <c r="H5" s="92" t="s">
        <v>383</v>
      </c>
      <c r="K5" s="55" t="s">
        <v>415</v>
      </c>
      <c r="L5" s="88" t="s">
        <v>5</v>
      </c>
      <c r="M5" s="86" t="s">
        <v>40</v>
      </c>
      <c r="N5" s="86">
        <v>1</v>
      </c>
      <c r="P5" s="86" t="s">
        <v>155</v>
      </c>
      <c r="Q5" s="88" t="s">
        <v>5</v>
      </c>
      <c r="R5" s="88" t="s">
        <v>21</v>
      </c>
      <c r="S5" s="88" t="s">
        <v>38</v>
      </c>
      <c r="T5" s="88" t="s">
        <v>40</v>
      </c>
      <c r="V5" s="86" t="s">
        <v>34</v>
      </c>
      <c r="W5" s="88" t="s">
        <v>28</v>
      </c>
      <c r="X5" s="88">
        <v>192</v>
      </c>
      <c r="Y5" s="88">
        <v>0</v>
      </c>
    </row>
    <row r="6" spans="1:25" x14ac:dyDescent="0.2">
      <c r="A6" s="87" t="s">
        <v>364</v>
      </c>
      <c r="B6" s="88" t="s">
        <v>6</v>
      </c>
      <c r="C6" s="86" t="s">
        <v>153</v>
      </c>
      <c r="D6" s="86" t="s">
        <v>332</v>
      </c>
      <c r="E6" s="86" t="s">
        <v>154</v>
      </c>
      <c r="F6" s="86" t="s">
        <v>155</v>
      </c>
      <c r="G6" s="86" t="s">
        <v>156</v>
      </c>
      <c r="H6" s="89" t="s">
        <v>387</v>
      </c>
      <c r="K6" s="55" t="s">
        <v>496</v>
      </c>
      <c r="L6" s="88" t="s">
        <v>6</v>
      </c>
      <c r="M6" s="86" t="s">
        <v>40</v>
      </c>
      <c r="N6" s="86">
        <v>1</v>
      </c>
      <c r="P6" s="86" t="s">
        <v>156</v>
      </c>
      <c r="Q6" s="88" t="s">
        <v>6</v>
      </c>
      <c r="R6" s="88" t="s">
        <v>21</v>
      </c>
      <c r="S6" s="88" t="s">
        <v>38</v>
      </c>
      <c r="T6" s="88" t="s">
        <v>40</v>
      </c>
      <c r="V6" s="86" t="s">
        <v>23</v>
      </c>
      <c r="W6" s="88" t="s">
        <v>28</v>
      </c>
      <c r="X6" s="88">
        <v>255</v>
      </c>
      <c r="Y6" s="88">
        <v>255</v>
      </c>
    </row>
    <row r="7" spans="1:25" x14ac:dyDescent="0.2">
      <c r="A7" s="93" t="s">
        <v>348</v>
      </c>
      <c r="B7" s="88" t="s">
        <v>7</v>
      </c>
      <c r="C7" s="86" t="s">
        <v>153</v>
      </c>
      <c r="D7" s="86" t="s">
        <v>332</v>
      </c>
      <c r="E7" s="86" t="s">
        <v>154</v>
      </c>
      <c r="F7" s="86" t="s">
        <v>155</v>
      </c>
      <c r="G7" s="86" t="s">
        <v>156</v>
      </c>
      <c r="H7" s="86" t="s">
        <v>373</v>
      </c>
      <c r="V7" s="86" t="s">
        <v>32</v>
      </c>
      <c r="W7" s="88" t="s">
        <v>33</v>
      </c>
      <c r="X7" s="88" t="s">
        <v>33</v>
      </c>
      <c r="Y7" s="88" t="s">
        <v>33</v>
      </c>
    </row>
    <row r="8" spans="1:25" x14ac:dyDescent="0.2">
      <c r="A8" s="93" t="s">
        <v>349</v>
      </c>
      <c r="B8" s="88" t="s">
        <v>8</v>
      </c>
      <c r="C8" s="86" t="s">
        <v>153</v>
      </c>
      <c r="D8" s="86" t="s">
        <v>332</v>
      </c>
      <c r="E8" s="86" t="s">
        <v>154</v>
      </c>
      <c r="F8" s="86" t="s">
        <v>155</v>
      </c>
      <c r="G8" s="86" t="s">
        <v>156</v>
      </c>
      <c r="H8" s="86" t="s">
        <v>374</v>
      </c>
      <c r="V8" s="86" t="s">
        <v>36</v>
      </c>
      <c r="W8" s="88" t="s">
        <v>370</v>
      </c>
      <c r="X8" s="88" t="s">
        <v>371</v>
      </c>
      <c r="Y8" s="88" t="s">
        <v>372</v>
      </c>
    </row>
    <row r="9" spans="1:25" x14ac:dyDescent="0.2">
      <c r="A9" s="93" t="s">
        <v>350</v>
      </c>
      <c r="B9" s="88" t="s">
        <v>9</v>
      </c>
      <c r="C9" s="86" t="s">
        <v>153</v>
      </c>
      <c r="D9" s="86" t="s">
        <v>332</v>
      </c>
      <c r="E9" s="86" t="s">
        <v>154</v>
      </c>
      <c r="F9" s="86" t="s">
        <v>155</v>
      </c>
      <c r="G9" s="86" t="s">
        <v>156</v>
      </c>
      <c r="H9" s="86" t="s">
        <v>375</v>
      </c>
      <c r="V9" s="86" t="s">
        <v>158</v>
      </c>
      <c r="W9" s="88" t="s">
        <v>27</v>
      </c>
      <c r="X9" s="88" t="s">
        <v>365</v>
      </c>
      <c r="Y9" s="88" t="s">
        <v>366</v>
      </c>
    </row>
    <row r="10" spans="1:25" x14ac:dyDescent="0.2">
      <c r="A10" s="94" t="s">
        <v>351</v>
      </c>
      <c r="B10" s="88" t="s">
        <v>10</v>
      </c>
      <c r="C10" s="86" t="s">
        <v>153</v>
      </c>
      <c r="D10" s="86" t="s">
        <v>332</v>
      </c>
      <c r="E10" s="86" t="s">
        <v>154</v>
      </c>
      <c r="F10" s="86" t="s">
        <v>155</v>
      </c>
      <c r="G10" s="86" t="s">
        <v>156</v>
      </c>
      <c r="H10" s="86" t="s">
        <v>376</v>
      </c>
    </row>
    <row r="11" spans="1:25" x14ac:dyDescent="0.2">
      <c r="A11" s="93" t="s">
        <v>352</v>
      </c>
      <c r="B11" s="88" t="s">
        <v>11</v>
      </c>
      <c r="C11" s="86" t="s">
        <v>153</v>
      </c>
      <c r="D11" s="86" t="s">
        <v>332</v>
      </c>
      <c r="E11" s="86" t="s">
        <v>154</v>
      </c>
      <c r="F11" s="86" t="s">
        <v>155</v>
      </c>
      <c r="G11" s="86" t="s">
        <v>156</v>
      </c>
      <c r="H11" s="86" t="s">
        <v>377</v>
      </c>
    </row>
    <row r="12" spans="1:25" x14ac:dyDescent="0.2">
      <c r="A12" s="93" t="s">
        <v>353</v>
      </c>
      <c r="B12" s="88" t="s">
        <v>12</v>
      </c>
      <c r="C12" s="86" t="s">
        <v>153</v>
      </c>
      <c r="D12" s="86" t="s">
        <v>332</v>
      </c>
      <c r="E12" s="86" t="s">
        <v>154</v>
      </c>
      <c r="F12" s="86" t="s">
        <v>155</v>
      </c>
      <c r="G12" s="86" t="s">
        <v>156</v>
      </c>
      <c r="H12" s="86" t="s">
        <v>378</v>
      </c>
    </row>
    <row r="13" spans="1:25" x14ac:dyDescent="0.2">
      <c r="A13" s="93" t="s">
        <v>354</v>
      </c>
      <c r="B13" s="88" t="s">
        <v>13</v>
      </c>
      <c r="C13" s="86" t="s">
        <v>153</v>
      </c>
      <c r="D13" s="86" t="s">
        <v>332</v>
      </c>
      <c r="E13" s="86" t="s">
        <v>154</v>
      </c>
      <c r="F13" s="86" t="s">
        <v>155</v>
      </c>
      <c r="G13" s="86" t="s">
        <v>156</v>
      </c>
      <c r="H13" s="86" t="s">
        <v>379</v>
      </c>
    </row>
    <row r="14" spans="1:25" x14ac:dyDescent="0.2">
      <c r="A14" s="93" t="s">
        <v>355</v>
      </c>
      <c r="B14" s="88" t="s">
        <v>14</v>
      </c>
      <c r="C14" s="86" t="s">
        <v>153</v>
      </c>
      <c r="D14" s="86" t="s">
        <v>332</v>
      </c>
      <c r="E14" s="86" t="s">
        <v>154</v>
      </c>
      <c r="F14" s="86" t="s">
        <v>155</v>
      </c>
      <c r="G14" s="86" t="s">
        <v>156</v>
      </c>
      <c r="H14" s="86" t="s">
        <v>380</v>
      </c>
    </row>
    <row r="15" spans="1:25" x14ac:dyDescent="0.2">
      <c r="A15" s="93" t="s">
        <v>361</v>
      </c>
      <c r="B15" s="88" t="s">
        <v>15</v>
      </c>
      <c r="C15" s="86" t="s">
        <v>153</v>
      </c>
      <c r="D15" s="86" t="s">
        <v>332</v>
      </c>
      <c r="E15" s="86" t="s">
        <v>154</v>
      </c>
      <c r="F15" s="86" t="s">
        <v>155</v>
      </c>
      <c r="G15" s="86" t="s">
        <v>156</v>
      </c>
      <c r="H15" s="86" t="s">
        <v>384</v>
      </c>
    </row>
    <row r="16" spans="1:25" x14ac:dyDescent="0.2">
      <c r="A16" s="93" t="s">
        <v>362</v>
      </c>
      <c r="B16" s="88" t="s">
        <v>16</v>
      </c>
      <c r="C16" s="86" t="s">
        <v>153</v>
      </c>
      <c r="D16" s="86" t="s">
        <v>332</v>
      </c>
      <c r="E16" s="86" t="s">
        <v>154</v>
      </c>
      <c r="F16" s="86" t="s">
        <v>155</v>
      </c>
      <c r="G16" s="86" t="s">
        <v>156</v>
      </c>
      <c r="H16" s="86" t="s">
        <v>385</v>
      </c>
    </row>
    <row r="17" spans="1:16" x14ac:dyDescent="0.2">
      <c r="A17" s="93" t="s">
        <v>363</v>
      </c>
      <c r="B17" s="88" t="s">
        <v>17</v>
      </c>
      <c r="C17" s="86" t="s">
        <v>153</v>
      </c>
      <c r="D17" s="86" t="s">
        <v>332</v>
      </c>
      <c r="E17" s="86" t="s">
        <v>154</v>
      </c>
      <c r="F17" s="86" t="s">
        <v>155</v>
      </c>
      <c r="G17" s="86" t="s">
        <v>156</v>
      </c>
      <c r="H17" s="86" t="s">
        <v>386</v>
      </c>
    </row>
    <row r="18" spans="1:16" x14ac:dyDescent="0.2">
      <c r="G18" s="95"/>
      <c r="H18" s="95"/>
      <c r="I18" s="95"/>
      <c r="J18" s="95"/>
      <c r="K18" s="95"/>
      <c r="L18" s="95"/>
      <c r="M18" s="95"/>
      <c r="N18" s="95"/>
      <c r="O18" s="95"/>
      <c r="P18" s="95"/>
    </row>
    <row r="19" spans="1:16" x14ac:dyDescent="0.2">
      <c r="K19" s="95"/>
      <c r="L19" s="95"/>
      <c r="M19" s="95"/>
      <c r="N19" s="95"/>
      <c r="O19" s="95"/>
      <c r="P19" s="95"/>
    </row>
    <row r="20" spans="1:16" x14ac:dyDescent="0.2">
      <c r="K20" s="95"/>
      <c r="L20" s="95"/>
      <c r="M20" s="95"/>
      <c r="N20" s="95"/>
      <c r="O20" s="95"/>
      <c r="P20" s="95"/>
    </row>
  </sheetData>
  <protectedRanges>
    <protectedRange sqref="M2:N5" name="Range3"/>
    <protectedRange sqref="S2:T6" name="Range2"/>
  </protectedRanges>
  <conditionalFormatting sqref="E1:E32 E39:E1048576 T1:T6">
    <cfRule type="cellIs" dxfId="5" priority="2" operator="equal">
      <formula>"Inactive"</formula>
    </cfRule>
  </conditionalFormatting>
  <conditionalFormatting sqref="E1:E32 E39:E1048576 T1:T6">
    <cfRule type="cellIs" dxfId="4" priority="1" operator="equal">
      <formula>"Active"</formula>
    </cfRule>
  </conditionalFormatting>
  <dataValidations count="4">
    <dataValidation type="list" allowBlank="1" showInputMessage="1" showErrorMessage="1" sqref="T3:T6 M2:M6">
      <formula1>"Yes, No"</formula1>
    </dataValidation>
    <dataValidation type="list" allowBlank="1" showInputMessage="1" showErrorMessage="1" sqref="S3:S6">
      <formula1>"Company, Central"</formula1>
    </dataValidation>
    <dataValidation type="list" allowBlank="1" showDropDown="1" showInputMessage="1" showErrorMessage="1" sqref="T2">
      <formula1>"Yes, No"</formula1>
    </dataValidation>
    <dataValidation type="list" allowBlank="1" showInputMessage="1" showErrorMessage="1" sqref="R2:R6">
      <formula1>INDIRECT("ColorTable[Color]")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3:B24"/>
  <sheetViews>
    <sheetView showGridLines="0" showRowColHeaders="0" zoomScale="70" zoomScaleNormal="70" workbookViewId="0">
      <selection activeCell="B5" sqref="B5"/>
    </sheetView>
  </sheetViews>
  <sheetFormatPr defaultRowHeight="12.75" x14ac:dyDescent="0.2"/>
  <cols>
    <col min="1" max="1" width="10.28515625" customWidth="1"/>
  </cols>
  <sheetData>
    <row r="3" spans="2:2" ht="26.25" x14ac:dyDescent="0.4">
      <c r="B3" s="48"/>
    </row>
    <row r="24" spans="2:2" ht="26.25" x14ac:dyDescent="0.4">
      <c r="B24" s="4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Configuration</vt:lpstr>
      <vt:lpstr>Start packages</vt:lpstr>
      <vt:lpstr>Dashboard</vt:lpstr>
      <vt:lpstr>OutlookImport</vt:lpstr>
      <vt:lpstr>ChangeLog</vt:lpstr>
      <vt:lpstr>Issues</vt:lpstr>
      <vt:lpstr>Deadlines</vt:lpstr>
      <vt:lpstr>Tracking</vt:lpstr>
      <vt:lpstr>Pivot Tables</vt:lpstr>
      <vt:lpstr>IDs</vt:lpstr>
      <vt:lpstr>Dashboard Modules</vt:lpstr>
      <vt:lpstr>ChangeInAll</vt:lpstr>
      <vt:lpstr>ChangeInOne</vt:lpstr>
      <vt:lpstr>Contacts</vt:lpstr>
      <vt:lpstr>OutlookImport!ImportedCodes</vt:lpstr>
      <vt:lpstr>MailBody</vt:lpstr>
      <vt:lpstr>MailCompany</vt:lpstr>
      <vt:lpstr>MailHead</vt:lpstr>
      <vt:lpstr>MailIssueReply</vt:lpstr>
      <vt:lpstr>MailSignature</vt:lpstr>
      <vt:lpstr>MailStatusReply</vt:lpstr>
      <vt:lpstr>MailSubject</vt:lpstr>
      <vt:lpstr>OutlookImportIDs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DCSO Remediation Tracking Tool v2.0</dc:title>
  <dc:creator>irt@dcso.de</dc:creator>
  <cp:lastModifiedBy>Daniel Nguyen</cp:lastModifiedBy>
  <cp:lastPrinted>2015-08-25T08:55:38Z</cp:lastPrinted>
  <dcterms:created xsi:type="dcterms:W3CDTF">2002-11-14T14:15:04Z</dcterms:created>
  <dcterms:modified xsi:type="dcterms:W3CDTF">2017-10-12T11:33:46Z</dcterms:modified>
</cp:coreProperties>
</file>